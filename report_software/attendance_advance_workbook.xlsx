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mployee Master" sheetId="1" state="visible" r:id="rId1"/>
    <sheet name="Attendance" sheetId="2" state="visible" r:id="rId2"/>
    <sheet name="Advance Money" sheetId="3" state="visible" r:id="rId3"/>
    <sheet name="Dashboard 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CCCC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dxfs count="3">
    <dxf>
      <fill>
        <patternFill patternType="solid">
          <fgColor rgb="00C6EFCE"/>
          <bgColor rgb="00C6EFCE"/>
        </patternFill>
      </fill>
    </dxf>
    <dxf>
      <fill>
        <patternFill patternType="solid">
          <fgColor rgb="00FFC7CE"/>
          <bgColor rgb="00FFC7CE"/>
        </patternFill>
      </fill>
    </dxf>
    <dxf>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s>
  <sheetData>
    <row r="1">
      <c r="A1" s="1" t="inlineStr">
        <is>
          <t>Emp No</t>
        </is>
      </c>
      <c r="B1" s="1" t="inlineStr">
        <is>
          <t>Employee Name</t>
        </is>
      </c>
      <c r="C1" s="1" t="inlineStr">
        <is>
          <t>Department</t>
        </is>
      </c>
      <c r="D1" s="1" t="inlineStr">
        <is>
          <t>Shift Timing</t>
        </is>
      </c>
      <c r="E1" s="1" t="inlineStr">
        <is>
          <t>Contact 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Emp No</t>
        </is>
      </c>
      <c r="B1" s="1" t="inlineStr">
        <is>
          <t>Employee Name</t>
        </is>
      </c>
      <c r="C1" s="1" t="inlineStr">
        <is>
          <t>Date</t>
        </is>
      </c>
      <c r="D1" s="1" t="inlineStr">
        <is>
          <t>Day</t>
        </is>
      </c>
      <c r="E1" s="1" t="inlineStr">
        <is>
          <t>Status</t>
        </is>
      </c>
      <c r="F1" s="1" t="inlineStr">
        <is>
          <t>Time In</t>
        </is>
      </c>
      <c r="G1" s="1" t="inlineStr">
        <is>
          <t>Time Out</t>
        </is>
      </c>
      <c r="H1" s="1" t="inlineStr">
        <is>
          <t>OD/Extra Hours</t>
        </is>
      </c>
      <c r="I1" s="1" t="inlineStr">
        <is>
          <t>Working Hours</t>
        </is>
      </c>
      <c r="J1" s="1" t="inlineStr">
        <is>
          <t>Overtime</t>
        </is>
      </c>
      <c r="K1" s="1" t="inlineStr">
        <is>
          <t>Day-wise Total Hours</t>
        </is>
      </c>
      <c r="L1" s="1" t="inlineStr">
        <is>
          <t>Remarks</t>
        </is>
      </c>
      <c r="M1" t="inlineStr">
        <is>
          <t>Attendance Summary</t>
        </is>
      </c>
    </row>
    <row r="2">
      <c r="B2">
        <f>IF(A2="", "", IFERROR(VLOOKUP(A2, "Employee Master"!$A:$B, 2, FALSE), ""))</f>
        <v/>
      </c>
      <c r="D2">
        <f>IF(C2="", "", TEXT(C2, "ddd"))</f>
        <v/>
      </c>
      <c r="I2">
        <f>IF(OR(E2="Absent", E2="Leave", E2=""), "", IF(AND(F2&gt;0, G2&gt;0), G2-F2, ""))</f>
        <v/>
      </c>
      <c r="J2">
        <f>IF(I2="", "", MAX(0, I2-TIME(9,0,0)))</f>
        <v/>
      </c>
      <c r="K2">
        <f>IF(I2="", "", I2 + IF(H2="", 0, H2))</f>
        <v/>
      </c>
      <c r="M2" t="inlineStr">
        <is>
          <t>Total Present</t>
        </is>
      </c>
    </row>
    <row r="3">
      <c r="B3">
        <f>IF(A3="", "", IFERROR(VLOOKUP(A3, "Employee Master"!$A:$B, 2, FALSE), ""))</f>
        <v/>
      </c>
      <c r="D3">
        <f>IF(C3="", "", TEXT(C3, "ddd"))</f>
        <v/>
      </c>
      <c r="I3">
        <f>IF(OR(E3="Absent", E3="Leave", E3=""), "", IF(AND(F3&gt;0, G3&gt;0), G3-F3, ""))</f>
        <v/>
      </c>
      <c r="J3">
        <f>IF(I3="", "", MAX(0, I3-TIME(9,0,0)))</f>
        <v/>
      </c>
      <c r="K3">
        <f>IF(I3="", "", I3 + IF(H3="", 0, H3))</f>
        <v/>
      </c>
      <c r="M3" t="inlineStr">
        <is>
          <t>Total Absent</t>
        </is>
      </c>
    </row>
    <row r="4">
      <c r="B4">
        <f>IF(A4="", "", IFERROR(VLOOKUP(A4, "Employee Master"!$A:$B, 2, FALSE), ""))</f>
        <v/>
      </c>
      <c r="D4">
        <f>IF(C4="", "", TEXT(C4, "ddd"))</f>
        <v/>
      </c>
      <c r="I4">
        <f>IF(OR(E4="Absent", E4="Leave", E4=""), "", IF(AND(F4&gt;0, G4&gt;0), G4-F4, ""))</f>
        <v/>
      </c>
      <c r="J4">
        <f>IF(I4="", "", MAX(0, I4-TIME(9,0,0)))</f>
        <v/>
      </c>
      <c r="K4">
        <f>IF(I4="", "", I4 + IF(H4="", 0, H4))</f>
        <v/>
      </c>
      <c r="M4" t="inlineStr">
        <is>
          <t>Total OD Hours</t>
        </is>
      </c>
    </row>
    <row r="5">
      <c r="B5">
        <f>IF(A5="", "", IFERROR(VLOOKUP(A5, "Employee Master"!$A:$B, 2, FALSE), ""))</f>
        <v/>
      </c>
      <c r="D5">
        <f>IF(C5="", "", TEXT(C5, "ddd"))</f>
        <v/>
      </c>
      <c r="I5">
        <f>IF(OR(E5="Absent", E5="Leave", E5=""), "", IF(AND(F5&gt;0, G5&gt;0), G5-F5, ""))</f>
        <v/>
      </c>
      <c r="J5">
        <f>IF(I5="", "", MAX(0, I5-TIME(9,0,0)))</f>
        <v/>
      </c>
      <c r="K5">
        <f>IF(I5="", "", I5 + IF(H5="", 0, H5))</f>
        <v/>
      </c>
      <c r="M5" t="inlineStr">
        <is>
          <t>Total Working Hours</t>
        </is>
      </c>
    </row>
    <row r="6">
      <c r="B6">
        <f>IF(A6="", "", IFERROR(VLOOKUP(A6, "Employee Master"!$A:$B, 2, FALSE), ""))</f>
        <v/>
      </c>
      <c r="D6">
        <f>IF(C6="", "", TEXT(C6, "ddd"))</f>
        <v/>
      </c>
      <c r="I6">
        <f>IF(OR(E6="Absent", E6="Leave", E6=""), "", IF(AND(F6&gt;0, G6&gt;0), G6-F6, ""))</f>
        <v/>
      </c>
      <c r="J6">
        <f>IF(I6="", "", MAX(0, I6-TIME(9,0,0)))</f>
        <v/>
      </c>
      <c r="K6">
        <f>IF(I6="", "", I6 + IF(H6="", 0, H6))</f>
        <v/>
      </c>
      <c r="M6" t="inlineStr">
        <is>
          <t>Total Overtime</t>
        </is>
      </c>
    </row>
    <row r="7">
      <c r="B7">
        <f>IF(A7="", "", IFERROR(VLOOKUP(A7, "Employee Master"!$A:$B, 2, FALSE), ""))</f>
        <v/>
      </c>
      <c r="D7">
        <f>IF(C7="", "", TEXT(C7, "ddd"))</f>
        <v/>
      </c>
      <c r="I7">
        <f>IF(OR(E7="Absent", E7="Leave", E7=""), "", IF(AND(F7&gt;0, G7&gt;0), G7-F7, ""))</f>
        <v/>
      </c>
      <c r="J7">
        <f>IF(I7="", "", MAX(0, I7-TIME(9,0,0)))</f>
        <v/>
      </c>
      <c r="K7">
        <f>IF(I7="", "", I7 + IF(H7="", 0, H7))</f>
        <v/>
      </c>
    </row>
    <row r="8">
      <c r="B8">
        <f>IF(A8="", "", IFERROR(VLOOKUP(A8, "Employee Master"!$A:$B, 2, FALSE), ""))</f>
        <v/>
      </c>
      <c r="D8">
        <f>IF(C8="", "", TEXT(C8, "ddd"))</f>
        <v/>
      </c>
      <c r="I8">
        <f>IF(OR(E8="Absent", E8="Leave", E8=""), "", IF(AND(F8&gt;0, G8&gt;0), G8-F8, ""))</f>
        <v/>
      </c>
      <c r="J8">
        <f>IF(I8="", "", MAX(0, I8-TIME(9,0,0)))</f>
        <v/>
      </c>
      <c r="K8">
        <f>IF(I8="", "", I8 + IF(H8="", 0, H8))</f>
        <v/>
      </c>
    </row>
    <row r="9">
      <c r="B9">
        <f>IF(A9="", "", IFERROR(VLOOKUP(A9, "Employee Master"!$A:$B, 2, FALSE), ""))</f>
        <v/>
      </c>
      <c r="D9">
        <f>IF(C9="", "", TEXT(C9, "ddd"))</f>
        <v/>
      </c>
      <c r="I9">
        <f>IF(OR(E9="Absent", E9="Leave", E9=""), "", IF(AND(F9&gt;0, G9&gt;0), G9-F9, ""))</f>
        <v/>
      </c>
      <c r="J9">
        <f>IF(I9="", "", MAX(0, I9-TIME(9,0,0)))</f>
        <v/>
      </c>
      <c r="K9">
        <f>IF(I9="", "", I9 + IF(H9="", 0, H9))</f>
        <v/>
      </c>
    </row>
    <row r="10">
      <c r="B10">
        <f>IF(A10="", "", IFERROR(VLOOKUP(A10, "Employee Master"!$A:$B, 2, FALSE), ""))</f>
        <v/>
      </c>
      <c r="D10">
        <f>IF(C10="", "", TEXT(C10, "ddd"))</f>
        <v/>
      </c>
      <c r="I10">
        <f>IF(OR(E10="Absent", E10="Leave", E10=""), "", IF(AND(F10&gt;0, G10&gt;0), G10-F10, ""))</f>
        <v/>
      </c>
      <c r="J10">
        <f>IF(I10="", "", MAX(0, I10-TIME(9,0,0)))</f>
        <v/>
      </c>
      <c r="K10">
        <f>IF(I10="", "", I10 + IF(H10="", 0, H10))</f>
        <v/>
      </c>
    </row>
    <row r="11">
      <c r="B11">
        <f>IF(A11="", "", IFERROR(VLOOKUP(A11, "Employee Master"!$A:$B, 2, FALSE), ""))</f>
        <v/>
      </c>
      <c r="D11">
        <f>IF(C11="", "", TEXT(C11, "ddd"))</f>
        <v/>
      </c>
      <c r="I11">
        <f>IF(OR(E11="Absent", E11="Leave", E11=""), "", IF(AND(F11&gt;0, G11&gt;0), G11-F11, ""))</f>
        <v/>
      </c>
      <c r="J11">
        <f>IF(I11="", "", MAX(0, I11-TIME(9,0,0)))</f>
        <v/>
      </c>
      <c r="K11">
        <f>IF(I11="", "", I11 + IF(H11="", 0, H11))</f>
        <v/>
      </c>
    </row>
    <row r="12">
      <c r="B12">
        <f>IF(A12="", "", IFERROR(VLOOKUP(A12, "Employee Master"!$A:$B, 2, FALSE), ""))</f>
        <v/>
      </c>
      <c r="D12">
        <f>IF(C12="", "", TEXT(C12, "ddd"))</f>
        <v/>
      </c>
      <c r="I12">
        <f>IF(OR(E12="Absent", E12="Leave", E12=""), "", IF(AND(F12&gt;0, G12&gt;0), G12-F12, ""))</f>
        <v/>
      </c>
      <c r="J12">
        <f>IF(I12="", "", MAX(0, I12-TIME(9,0,0)))</f>
        <v/>
      </c>
      <c r="K12">
        <f>IF(I12="", "", I12 + IF(H12="", 0, H12))</f>
        <v/>
      </c>
    </row>
    <row r="13">
      <c r="B13">
        <f>IF(A13="", "", IFERROR(VLOOKUP(A13, "Employee Master"!$A:$B, 2, FALSE), ""))</f>
        <v/>
      </c>
      <c r="D13">
        <f>IF(C13="", "", TEXT(C13, "ddd"))</f>
        <v/>
      </c>
      <c r="I13">
        <f>IF(OR(E13="Absent", E13="Leave", E13=""), "", IF(AND(F13&gt;0, G13&gt;0), G13-F13, ""))</f>
        <v/>
      </c>
      <c r="J13">
        <f>IF(I13="", "", MAX(0, I13-TIME(9,0,0)))</f>
        <v/>
      </c>
      <c r="K13">
        <f>IF(I13="", "", I13 + IF(H13="", 0, H13))</f>
        <v/>
      </c>
    </row>
    <row r="14">
      <c r="B14">
        <f>IF(A14="", "", IFERROR(VLOOKUP(A14, "Employee Master"!$A:$B, 2, FALSE), ""))</f>
        <v/>
      </c>
      <c r="D14">
        <f>IF(C14="", "", TEXT(C14, "ddd"))</f>
        <v/>
      </c>
      <c r="I14">
        <f>IF(OR(E14="Absent", E14="Leave", E14=""), "", IF(AND(F14&gt;0, G14&gt;0), G14-F14, ""))</f>
        <v/>
      </c>
      <c r="J14">
        <f>IF(I14="", "", MAX(0, I14-TIME(9,0,0)))</f>
        <v/>
      </c>
      <c r="K14">
        <f>IF(I14="", "", I14 + IF(H14="", 0, H14))</f>
        <v/>
      </c>
    </row>
    <row r="15">
      <c r="B15">
        <f>IF(A15="", "", IFERROR(VLOOKUP(A15, "Employee Master"!$A:$B, 2, FALSE), ""))</f>
        <v/>
      </c>
      <c r="D15">
        <f>IF(C15="", "", TEXT(C15, "ddd"))</f>
        <v/>
      </c>
      <c r="I15">
        <f>IF(OR(E15="Absent", E15="Leave", E15=""), "", IF(AND(F15&gt;0, G15&gt;0), G15-F15, ""))</f>
        <v/>
      </c>
      <c r="J15">
        <f>IF(I15="", "", MAX(0, I15-TIME(9,0,0)))</f>
        <v/>
      </c>
      <c r="K15">
        <f>IF(I15="", "", I15 + IF(H15="", 0, H15))</f>
        <v/>
      </c>
    </row>
    <row r="16">
      <c r="B16">
        <f>IF(A16="", "", IFERROR(VLOOKUP(A16, "Employee Master"!$A:$B, 2, FALSE), ""))</f>
        <v/>
      </c>
      <c r="D16">
        <f>IF(C16="", "", TEXT(C16, "ddd"))</f>
        <v/>
      </c>
      <c r="I16">
        <f>IF(OR(E16="Absent", E16="Leave", E16=""), "", IF(AND(F16&gt;0, G16&gt;0), G16-F16, ""))</f>
        <v/>
      </c>
      <c r="J16">
        <f>IF(I16="", "", MAX(0, I16-TIME(9,0,0)))</f>
        <v/>
      </c>
      <c r="K16">
        <f>IF(I16="", "", I16 + IF(H16="", 0, H16))</f>
        <v/>
      </c>
    </row>
    <row r="17">
      <c r="B17">
        <f>IF(A17="", "", IFERROR(VLOOKUP(A17, "Employee Master"!$A:$B, 2, FALSE), ""))</f>
        <v/>
      </c>
      <c r="D17">
        <f>IF(C17="", "", TEXT(C17, "ddd"))</f>
        <v/>
      </c>
      <c r="I17">
        <f>IF(OR(E17="Absent", E17="Leave", E17=""), "", IF(AND(F17&gt;0, G17&gt;0), G17-F17, ""))</f>
        <v/>
      </c>
      <c r="J17">
        <f>IF(I17="", "", MAX(0, I17-TIME(9,0,0)))</f>
        <v/>
      </c>
      <c r="K17">
        <f>IF(I17="", "", I17 + IF(H17="", 0, H17))</f>
        <v/>
      </c>
    </row>
    <row r="18">
      <c r="B18">
        <f>IF(A18="", "", IFERROR(VLOOKUP(A18, "Employee Master"!$A:$B, 2, FALSE), ""))</f>
        <v/>
      </c>
      <c r="D18">
        <f>IF(C18="", "", TEXT(C18, "ddd"))</f>
        <v/>
      </c>
      <c r="I18">
        <f>IF(OR(E18="Absent", E18="Leave", E18=""), "", IF(AND(F18&gt;0, G18&gt;0), G18-F18, ""))</f>
        <v/>
      </c>
      <c r="J18">
        <f>IF(I18="", "", MAX(0, I18-TIME(9,0,0)))</f>
        <v/>
      </c>
      <c r="K18">
        <f>IF(I18="", "", I18 + IF(H18="", 0, H18))</f>
        <v/>
      </c>
    </row>
    <row r="19">
      <c r="B19">
        <f>IF(A19="", "", IFERROR(VLOOKUP(A19, "Employee Master"!$A:$B, 2, FALSE), ""))</f>
        <v/>
      </c>
      <c r="D19">
        <f>IF(C19="", "", TEXT(C19, "ddd"))</f>
        <v/>
      </c>
      <c r="I19">
        <f>IF(OR(E19="Absent", E19="Leave", E19=""), "", IF(AND(F19&gt;0, G19&gt;0), G19-F19, ""))</f>
        <v/>
      </c>
      <c r="J19">
        <f>IF(I19="", "", MAX(0, I19-TIME(9,0,0)))</f>
        <v/>
      </c>
      <c r="K19">
        <f>IF(I19="", "", I19 + IF(H19="", 0, H19))</f>
        <v/>
      </c>
    </row>
    <row r="20">
      <c r="B20">
        <f>IF(A20="", "", IFERROR(VLOOKUP(A20, "Employee Master"!$A:$B, 2, FALSE), ""))</f>
        <v/>
      </c>
      <c r="D20">
        <f>IF(C20="", "", TEXT(C20, "ddd"))</f>
        <v/>
      </c>
      <c r="I20">
        <f>IF(OR(E20="Absent", E20="Leave", E20=""), "", IF(AND(F20&gt;0, G20&gt;0), G20-F20, ""))</f>
        <v/>
      </c>
      <c r="J20">
        <f>IF(I20="", "", MAX(0, I20-TIME(9,0,0)))</f>
        <v/>
      </c>
      <c r="K20">
        <f>IF(I20="", "", I20 + IF(H20="", 0, H20))</f>
        <v/>
      </c>
    </row>
    <row r="21">
      <c r="B21">
        <f>IF(A21="", "", IFERROR(VLOOKUP(A21, "Employee Master"!$A:$B, 2, FALSE), ""))</f>
        <v/>
      </c>
      <c r="D21">
        <f>IF(C21="", "", TEXT(C21, "ddd"))</f>
        <v/>
      </c>
      <c r="I21">
        <f>IF(OR(E21="Absent", E21="Leave", E21=""), "", IF(AND(F21&gt;0, G21&gt;0), G21-F21, ""))</f>
        <v/>
      </c>
      <c r="J21">
        <f>IF(I21="", "", MAX(0, I21-TIME(9,0,0)))</f>
        <v/>
      </c>
      <c r="K21">
        <f>IF(I21="", "", I21 + IF(H21="", 0, H21))</f>
        <v/>
      </c>
    </row>
    <row r="22">
      <c r="B22">
        <f>IF(A22="", "", IFERROR(VLOOKUP(A22, "Employee Master"!$A:$B, 2, FALSE), ""))</f>
        <v/>
      </c>
      <c r="D22">
        <f>IF(C22="", "", TEXT(C22, "ddd"))</f>
        <v/>
      </c>
      <c r="I22">
        <f>IF(OR(E22="Absent", E22="Leave", E22=""), "", IF(AND(F22&gt;0, G22&gt;0), G22-F22, ""))</f>
        <v/>
      </c>
      <c r="J22">
        <f>IF(I22="", "", MAX(0, I22-TIME(9,0,0)))</f>
        <v/>
      </c>
      <c r="K22">
        <f>IF(I22="", "", I22 + IF(H22="", 0, H22))</f>
        <v/>
      </c>
    </row>
    <row r="23">
      <c r="B23">
        <f>IF(A23="", "", IFERROR(VLOOKUP(A23, "Employee Master"!$A:$B, 2, FALSE), ""))</f>
        <v/>
      </c>
      <c r="D23">
        <f>IF(C23="", "", TEXT(C23, "ddd"))</f>
        <v/>
      </c>
      <c r="I23">
        <f>IF(OR(E23="Absent", E23="Leave", E23=""), "", IF(AND(F23&gt;0, G23&gt;0), G23-F23, ""))</f>
        <v/>
      </c>
      <c r="J23">
        <f>IF(I23="", "", MAX(0, I23-TIME(9,0,0)))</f>
        <v/>
      </c>
      <c r="K23">
        <f>IF(I23="", "", I23 + IF(H23="", 0, H23))</f>
        <v/>
      </c>
    </row>
    <row r="24">
      <c r="B24">
        <f>IF(A24="", "", IFERROR(VLOOKUP(A24, "Employee Master"!$A:$B, 2, FALSE), ""))</f>
        <v/>
      </c>
      <c r="D24">
        <f>IF(C24="", "", TEXT(C24, "ddd"))</f>
        <v/>
      </c>
      <c r="I24">
        <f>IF(OR(E24="Absent", E24="Leave", E24=""), "", IF(AND(F24&gt;0, G24&gt;0), G24-F24, ""))</f>
        <v/>
      </c>
      <c r="J24">
        <f>IF(I24="", "", MAX(0, I24-TIME(9,0,0)))</f>
        <v/>
      </c>
      <c r="K24">
        <f>IF(I24="", "", I24 + IF(H24="", 0, H24))</f>
        <v/>
      </c>
    </row>
    <row r="25">
      <c r="B25">
        <f>IF(A25="", "", IFERROR(VLOOKUP(A25, "Employee Master"!$A:$B, 2, FALSE), ""))</f>
        <v/>
      </c>
      <c r="D25">
        <f>IF(C25="", "", TEXT(C25, "ddd"))</f>
        <v/>
      </c>
      <c r="I25">
        <f>IF(OR(E25="Absent", E25="Leave", E25=""), "", IF(AND(F25&gt;0, G25&gt;0), G25-F25, ""))</f>
        <v/>
      </c>
      <c r="J25">
        <f>IF(I25="", "", MAX(0, I25-TIME(9,0,0)))</f>
        <v/>
      </c>
      <c r="K25">
        <f>IF(I25="", "", I25 + IF(H25="", 0, H25))</f>
        <v/>
      </c>
    </row>
    <row r="26">
      <c r="B26">
        <f>IF(A26="", "", IFERROR(VLOOKUP(A26, "Employee Master"!$A:$B, 2, FALSE), ""))</f>
        <v/>
      </c>
      <c r="D26">
        <f>IF(C26="", "", TEXT(C26, "ddd"))</f>
        <v/>
      </c>
      <c r="I26">
        <f>IF(OR(E26="Absent", E26="Leave", E26=""), "", IF(AND(F26&gt;0, G26&gt;0), G26-F26, ""))</f>
        <v/>
      </c>
      <c r="J26">
        <f>IF(I26="", "", MAX(0, I26-TIME(9,0,0)))</f>
        <v/>
      </c>
      <c r="K26">
        <f>IF(I26="", "", I26 + IF(H26="", 0, H26))</f>
        <v/>
      </c>
    </row>
    <row r="27">
      <c r="B27">
        <f>IF(A27="", "", IFERROR(VLOOKUP(A27, "Employee Master"!$A:$B, 2, FALSE), ""))</f>
        <v/>
      </c>
      <c r="D27">
        <f>IF(C27="", "", TEXT(C27, "ddd"))</f>
        <v/>
      </c>
      <c r="I27">
        <f>IF(OR(E27="Absent", E27="Leave", E27=""), "", IF(AND(F27&gt;0, G27&gt;0), G27-F27, ""))</f>
        <v/>
      </c>
      <c r="J27">
        <f>IF(I27="", "", MAX(0, I27-TIME(9,0,0)))</f>
        <v/>
      </c>
      <c r="K27">
        <f>IF(I27="", "", I27 + IF(H27="", 0, H27))</f>
        <v/>
      </c>
    </row>
    <row r="28">
      <c r="B28">
        <f>IF(A28="", "", IFERROR(VLOOKUP(A28, "Employee Master"!$A:$B, 2, FALSE), ""))</f>
        <v/>
      </c>
      <c r="D28">
        <f>IF(C28="", "", TEXT(C28, "ddd"))</f>
        <v/>
      </c>
      <c r="I28">
        <f>IF(OR(E28="Absent", E28="Leave", E28=""), "", IF(AND(F28&gt;0, G28&gt;0), G28-F28, ""))</f>
        <v/>
      </c>
      <c r="J28">
        <f>IF(I28="", "", MAX(0, I28-TIME(9,0,0)))</f>
        <v/>
      </c>
      <c r="K28">
        <f>IF(I28="", "", I28 + IF(H28="", 0, H28))</f>
        <v/>
      </c>
    </row>
    <row r="29">
      <c r="B29">
        <f>IF(A29="", "", IFERROR(VLOOKUP(A29, "Employee Master"!$A:$B, 2, FALSE), ""))</f>
        <v/>
      </c>
      <c r="D29">
        <f>IF(C29="", "", TEXT(C29, "ddd"))</f>
        <v/>
      </c>
      <c r="I29">
        <f>IF(OR(E29="Absent", E29="Leave", E29=""), "", IF(AND(F29&gt;0, G29&gt;0), G29-F29, ""))</f>
        <v/>
      </c>
      <c r="J29">
        <f>IF(I29="", "", MAX(0, I29-TIME(9,0,0)))</f>
        <v/>
      </c>
      <c r="K29">
        <f>IF(I29="", "", I29 + IF(H29="", 0, H29))</f>
        <v/>
      </c>
    </row>
    <row r="30">
      <c r="B30">
        <f>IF(A30="", "", IFERROR(VLOOKUP(A30, "Employee Master"!$A:$B, 2, FALSE), ""))</f>
        <v/>
      </c>
      <c r="D30">
        <f>IF(C30="", "", TEXT(C30, "ddd"))</f>
        <v/>
      </c>
      <c r="I30">
        <f>IF(OR(E30="Absent", E30="Leave", E30=""), "", IF(AND(F30&gt;0, G30&gt;0), G30-F30, ""))</f>
        <v/>
      </c>
      <c r="J30">
        <f>IF(I30="", "", MAX(0, I30-TIME(9,0,0)))</f>
        <v/>
      </c>
      <c r="K30">
        <f>IF(I30="", "", I30 + IF(H30="", 0, H30))</f>
        <v/>
      </c>
    </row>
    <row r="31">
      <c r="B31">
        <f>IF(A31="", "", IFERROR(VLOOKUP(A31, "Employee Master"!$A:$B, 2, FALSE), ""))</f>
        <v/>
      </c>
      <c r="D31">
        <f>IF(C31="", "", TEXT(C31, "ddd"))</f>
        <v/>
      </c>
      <c r="I31">
        <f>IF(OR(E31="Absent", E31="Leave", E31=""), "", IF(AND(F31&gt;0, G31&gt;0), G31-F31, ""))</f>
        <v/>
      </c>
      <c r="J31">
        <f>IF(I31="", "", MAX(0, I31-TIME(9,0,0)))</f>
        <v/>
      </c>
      <c r="K31">
        <f>IF(I31="", "", I31 + IF(H31="", 0, H31))</f>
        <v/>
      </c>
    </row>
    <row r="32">
      <c r="B32">
        <f>IF(A32="", "", IFERROR(VLOOKUP(A32, "Employee Master"!$A:$B, 2, FALSE), ""))</f>
        <v/>
      </c>
      <c r="D32">
        <f>IF(C32="", "", TEXT(C32, "ddd"))</f>
        <v/>
      </c>
      <c r="I32">
        <f>IF(OR(E32="Absent", E32="Leave", E32=""), "", IF(AND(F32&gt;0, G32&gt;0), G32-F32, ""))</f>
        <v/>
      </c>
      <c r="J32">
        <f>IF(I32="", "", MAX(0, I32-TIME(9,0,0)))</f>
        <v/>
      </c>
      <c r="K32">
        <f>IF(I32="", "", I32 + IF(H32="", 0, H32))</f>
        <v/>
      </c>
    </row>
    <row r="33">
      <c r="B33">
        <f>IF(A33="", "", IFERROR(VLOOKUP(A33, "Employee Master"!$A:$B, 2, FALSE), ""))</f>
        <v/>
      </c>
      <c r="D33">
        <f>IF(C33="", "", TEXT(C33, "ddd"))</f>
        <v/>
      </c>
      <c r="I33">
        <f>IF(OR(E33="Absent", E33="Leave", E33=""), "", IF(AND(F33&gt;0, G33&gt;0), G33-F33, ""))</f>
        <v/>
      </c>
      <c r="J33">
        <f>IF(I33="", "", MAX(0, I33-TIME(9,0,0)))</f>
        <v/>
      </c>
      <c r="K33">
        <f>IF(I33="", "", I33 + IF(H33="", 0, H33))</f>
        <v/>
      </c>
    </row>
    <row r="34">
      <c r="B34">
        <f>IF(A34="", "", IFERROR(VLOOKUP(A34, "Employee Master"!$A:$B, 2, FALSE), ""))</f>
        <v/>
      </c>
      <c r="D34">
        <f>IF(C34="", "", TEXT(C34, "ddd"))</f>
        <v/>
      </c>
      <c r="I34">
        <f>IF(OR(E34="Absent", E34="Leave", E34=""), "", IF(AND(F34&gt;0, G34&gt;0), G34-F34, ""))</f>
        <v/>
      </c>
      <c r="J34">
        <f>IF(I34="", "", MAX(0, I34-TIME(9,0,0)))</f>
        <v/>
      </c>
      <c r="K34">
        <f>IF(I34="", "", I34 + IF(H34="", 0, H34))</f>
        <v/>
      </c>
    </row>
    <row r="35">
      <c r="B35">
        <f>IF(A35="", "", IFERROR(VLOOKUP(A35, "Employee Master"!$A:$B, 2, FALSE), ""))</f>
        <v/>
      </c>
      <c r="D35">
        <f>IF(C35="", "", TEXT(C35, "ddd"))</f>
        <v/>
      </c>
      <c r="I35">
        <f>IF(OR(E35="Absent", E35="Leave", E35=""), "", IF(AND(F35&gt;0, G35&gt;0), G35-F35, ""))</f>
        <v/>
      </c>
      <c r="J35">
        <f>IF(I35="", "", MAX(0, I35-TIME(9,0,0)))</f>
        <v/>
      </c>
      <c r="K35">
        <f>IF(I35="", "", I35 + IF(H35="", 0, H35))</f>
        <v/>
      </c>
    </row>
    <row r="36">
      <c r="B36">
        <f>IF(A36="", "", IFERROR(VLOOKUP(A36, "Employee Master"!$A:$B, 2, FALSE), ""))</f>
        <v/>
      </c>
      <c r="D36">
        <f>IF(C36="", "", TEXT(C36, "ddd"))</f>
        <v/>
      </c>
      <c r="I36">
        <f>IF(OR(E36="Absent", E36="Leave", E36=""), "", IF(AND(F36&gt;0, G36&gt;0), G36-F36, ""))</f>
        <v/>
      </c>
      <c r="J36">
        <f>IF(I36="", "", MAX(0, I36-TIME(9,0,0)))</f>
        <v/>
      </c>
      <c r="K36">
        <f>IF(I36="", "", I36 + IF(H36="", 0, H36))</f>
        <v/>
      </c>
    </row>
    <row r="37">
      <c r="B37">
        <f>IF(A37="", "", IFERROR(VLOOKUP(A37, "Employee Master"!$A:$B, 2, FALSE), ""))</f>
        <v/>
      </c>
      <c r="D37">
        <f>IF(C37="", "", TEXT(C37, "ddd"))</f>
        <v/>
      </c>
      <c r="I37">
        <f>IF(OR(E37="Absent", E37="Leave", E37=""), "", IF(AND(F37&gt;0, G37&gt;0), G37-F37, ""))</f>
        <v/>
      </c>
      <c r="J37">
        <f>IF(I37="", "", MAX(0, I37-TIME(9,0,0)))</f>
        <v/>
      </c>
      <c r="K37">
        <f>IF(I37="", "", I37 + IF(H37="", 0, H37))</f>
        <v/>
      </c>
    </row>
    <row r="38">
      <c r="B38">
        <f>IF(A38="", "", IFERROR(VLOOKUP(A38, "Employee Master"!$A:$B, 2, FALSE), ""))</f>
        <v/>
      </c>
      <c r="D38">
        <f>IF(C38="", "", TEXT(C38, "ddd"))</f>
        <v/>
      </c>
      <c r="I38">
        <f>IF(OR(E38="Absent", E38="Leave", E38=""), "", IF(AND(F38&gt;0, G38&gt;0), G38-F38, ""))</f>
        <v/>
      </c>
      <c r="J38">
        <f>IF(I38="", "", MAX(0, I38-TIME(9,0,0)))</f>
        <v/>
      </c>
      <c r="K38">
        <f>IF(I38="", "", I38 + IF(H38="", 0, H38))</f>
        <v/>
      </c>
    </row>
    <row r="39">
      <c r="B39">
        <f>IF(A39="", "", IFERROR(VLOOKUP(A39, "Employee Master"!$A:$B, 2, FALSE), ""))</f>
        <v/>
      </c>
      <c r="D39">
        <f>IF(C39="", "", TEXT(C39, "ddd"))</f>
        <v/>
      </c>
      <c r="I39">
        <f>IF(OR(E39="Absent", E39="Leave", E39=""), "", IF(AND(F39&gt;0, G39&gt;0), G39-F39, ""))</f>
        <v/>
      </c>
      <c r="J39">
        <f>IF(I39="", "", MAX(0, I39-TIME(9,0,0)))</f>
        <v/>
      </c>
      <c r="K39">
        <f>IF(I39="", "", I39 + IF(H39="", 0, H39))</f>
        <v/>
      </c>
    </row>
    <row r="40">
      <c r="B40">
        <f>IF(A40="", "", IFERROR(VLOOKUP(A40, "Employee Master"!$A:$B, 2, FALSE), ""))</f>
        <v/>
      </c>
      <c r="D40">
        <f>IF(C40="", "", TEXT(C40, "ddd"))</f>
        <v/>
      </c>
      <c r="I40">
        <f>IF(OR(E40="Absent", E40="Leave", E40=""), "", IF(AND(F40&gt;0, G40&gt;0), G40-F40, ""))</f>
        <v/>
      </c>
      <c r="J40">
        <f>IF(I40="", "", MAX(0, I40-TIME(9,0,0)))</f>
        <v/>
      </c>
      <c r="K40">
        <f>IF(I40="", "", I40 + IF(H40="", 0, H40))</f>
        <v/>
      </c>
    </row>
    <row r="41">
      <c r="B41">
        <f>IF(A41="", "", IFERROR(VLOOKUP(A41, "Employee Master"!$A:$B, 2, FALSE), ""))</f>
        <v/>
      </c>
      <c r="D41">
        <f>IF(C41="", "", TEXT(C41, "ddd"))</f>
        <v/>
      </c>
      <c r="I41">
        <f>IF(OR(E41="Absent", E41="Leave", E41=""), "", IF(AND(F41&gt;0, G41&gt;0), G41-F41, ""))</f>
        <v/>
      </c>
      <c r="J41">
        <f>IF(I41="", "", MAX(0, I41-TIME(9,0,0)))</f>
        <v/>
      </c>
      <c r="K41">
        <f>IF(I41="", "", I41 + IF(H41="", 0, H41))</f>
        <v/>
      </c>
    </row>
    <row r="42">
      <c r="B42">
        <f>IF(A42="", "", IFERROR(VLOOKUP(A42, "Employee Master"!$A:$B, 2, FALSE), ""))</f>
        <v/>
      </c>
      <c r="D42">
        <f>IF(C42="", "", TEXT(C42, "ddd"))</f>
        <v/>
      </c>
      <c r="I42">
        <f>IF(OR(E42="Absent", E42="Leave", E42=""), "", IF(AND(F42&gt;0, G42&gt;0), G42-F42, ""))</f>
        <v/>
      </c>
      <c r="J42">
        <f>IF(I42="", "", MAX(0, I42-TIME(9,0,0)))</f>
        <v/>
      </c>
      <c r="K42">
        <f>IF(I42="", "", I42 + IF(H42="", 0, H42))</f>
        <v/>
      </c>
    </row>
    <row r="43">
      <c r="B43">
        <f>IF(A43="", "", IFERROR(VLOOKUP(A43, "Employee Master"!$A:$B, 2, FALSE), ""))</f>
        <v/>
      </c>
      <c r="D43">
        <f>IF(C43="", "", TEXT(C43, "ddd"))</f>
        <v/>
      </c>
      <c r="I43">
        <f>IF(OR(E43="Absent", E43="Leave", E43=""), "", IF(AND(F43&gt;0, G43&gt;0), G43-F43, ""))</f>
        <v/>
      </c>
      <c r="J43">
        <f>IF(I43="", "", MAX(0, I43-TIME(9,0,0)))</f>
        <v/>
      </c>
      <c r="K43">
        <f>IF(I43="", "", I43 + IF(H43="", 0, H43))</f>
        <v/>
      </c>
    </row>
    <row r="44">
      <c r="B44">
        <f>IF(A44="", "", IFERROR(VLOOKUP(A44, "Employee Master"!$A:$B, 2, FALSE), ""))</f>
        <v/>
      </c>
      <c r="D44">
        <f>IF(C44="", "", TEXT(C44, "ddd"))</f>
        <v/>
      </c>
      <c r="I44">
        <f>IF(OR(E44="Absent", E44="Leave", E44=""), "", IF(AND(F44&gt;0, G44&gt;0), G44-F44, ""))</f>
        <v/>
      </c>
      <c r="J44">
        <f>IF(I44="", "", MAX(0, I44-TIME(9,0,0)))</f>
        <v/>
      </c>
      <c r="K44">
        <f>IF(I44="", "", I44 + IF(H44="", 0, H44))</f>
        <v/>
      </c>
    </row>
    <row r="45">
      <c r="B45">
        <f>IF(A45="", "", IFERROR(VLOOKUP(A45, "Employee Master"!$A:$B, 2, FALSE), ""))</f>
        <v/>
      </c>
      <c r="D45">
        <f>IF(C45="", "", TEXT(C45, "ddd"))</f>
        <v/>
      </c>
      <c r="I45">
        <f>IF(OR(E45="Absent", E45="Leave", E45=""), "", IF(AND(F45&gt;0, G45&gt;0), G45-F45, ""))</f>
        <v/>
      </c>
      <c r="J45">
        <f>IF(I45="", "", MAX(0, I45-TIME(9,0,0)))</f>
        <v/>
      </c>
      <c r="K45">
        <f>IF(I45="", "", I45 + IF(H45="", 0, H45))</f>
        <v/>
      </c>
    </row>
    <row r="46">
      <c r="B46">
        <f>IF(A46="", "", IFERROR(VLOOKUP(A46, "Employee Master"!$A:$B, 2, FALSE), ""))</f>
        <v/>
      </c>
      <c r="D46">
        <f>IF(C46="", "", TEXT(C46, "ddd"))</f>
        <v/>
      </c>
      <c r="I46">
        <f>IF(OR(E46="Absent", E46="Leave", E46=""), "", IF(AND(F46&gt;0, G46&gt;0), G46-F46, ""))</f>
        <v/>
      </c>
      <c r="J46">
        <f>IF(I46="", "", MAX(0, I46-TIME(9,0,0)))</f>
        <v/>
      </c>
      <c r="K46">
        <f>IF(I46="", "", I46 + IF(H46="", 0, H46))</f>
        <v/>
      </c>
    </row>
    <row r="47">
      <c r="B47">
        <f>IF(A47="", "", IFERROR(VLOOKUP(A47, "Employee Master"!$A:$B, 2, FALSE), ""))</f>
        <v/>
      </c>
      <c r="D47">
        <f>IF(C47="", "", TEXT(C47, "ddd"))</f>
        <v/>
      </c>
      <c r="I47">
        <f>IF(OR(E47="Absent", E47="Leave", E47=""), "", IF(AND(F47&gt;0, G47&gt;0), G47-F47, ""))</f>
        <v/>
      </c>
      <c r="J47">
        <f>IF(I47="", "", MAX(0, I47-TIME(9,0,0)))</f>
        <v/>
      </c>
      <c r="K47">
        <f>IF(I47="", "", I47 + IF(H47="", 0, H47))</f>
        <v/>
      </c>
    </row>
    <row r="48">
      <c r="B48">
        <f>IF(A48="", "", IFERROR(VLOOKUP(A48, "Employee Master"!$A:$B, 2, FALSE), ""))</f>
        <v/>
      </c>
      <c r="D48">
        <f>IF(C48="", "", TEXT(C48, "ddd"))</f>
        <v/>
      </c>
      <c r="I48">
        <f>IF(OR(E48="Absent", E48="Leave", E48=""), "", IF(AND(F48&gt;0, G48&gt;0), G48-F48, ""))</f>
        <v/>
      </c>
      <c r="J48">
        <f>IF(I48="", "", MAX(0, I48-TIME(9,0,0)))</f>
        <v/>
      </c>
      <c r="K48">
        <f>IF(I48="", "", I48 + IF(H48="", 0, H48))</f>
        <v/>
      </c>
    </row>
    <row r="49">
      <c r="B49">
        <f>IF(A49="", "", IFERROR(VLOOKUP(A49, "Employee Master"!$A:$B, 2, FALSE), ""))</f>
        <v/>
      </c>
      <c r="D49">
        <f>IF(C49="", "", TEXT(C49, "ddd"))</f>
        <v/>
      </c>
      <c r="I49">
        <f>IF(OR(E49="Absent", E49="Leave", E49=""), "", IF(AND(F49&gt;0, G49&gt;0), G49-F49, ""))</f>
        <v/>
      </c>
      <c r="J49">
        <f>IF(I49="", "", MAX(0, I49-TIME(9,0,0)))</f>
        <v/>
      </c>
      <c r="K49">
        <f>IF(I49="", "", I49 + IF(H49="", 0, H49))</f>
        <v/>
      </c>
    </row>
    <row r="50">
      <c r="B50">
        <f>IF(A50="", "", IFERROR(VLOOKUP(A50, "Employee Master"!$A:$B, 2, FALSE), ""))</f>
        <v/>
      </c>
      <c r="D50">
        <f>IF(C50="", "", TEXT(C50, "ddd"))</f>
        <v/>
      </c>
      <c r="I50">
        <f>IF(OR(E50="Absent", E50="Leave", E50=""), "", IF(AND(F50&gt;0, G50&gt;0), G50-F50, ""))</f>
        <v/>
      </c>
      <c r="J50">
        <f>IF(I50="", "", MAX(0, I50-TIME(9,0,0)))</f>
        <v/>
      </c>
      <c r="K50">
        <f>IF(I50="", "", I50 + IF(H50="", 0, H50))</f>
        <v/>
      </c>
    </row>
    <row r="51">
      <c r="B51">
        <f>IF(A51="", "", IFERROR(VLOOKUP(A51, "Employee Master"!$A:$B, 2, FALSE), ""))</f>
        <v/>
      </c>
      <c r="D51">
        <f>IF(C51="", "", TEXT(C51, "ddd"))</f>
        <v/>
      </c>
      <c r="I51">
        <f>IF(OR(E51="Absent", E51="Leave", E51=""), "", IF(AND(F51&gt;0, G51&gt;0), G51-F51, ""))</f>
        <v/>
      </c>
      <c r="J51">
        <f>IF(I51="", "", MAX(0, I51-TIME(9,0,0)))</f>
        <v/>
      </c>
      <c r="K51">
        <f>IF(I51="", "", I51 + IF(H51="", 0, H51))</f>
        <v/>
      </c>
    </row>
    <row r="52">
      <c r="B52">
        <f>IF(A52="", "", IFERROR(VLOOKUP(A52, "Employee Master"!$A:$B, 2, FALSE), ""))</f>
        <v/>
      </c>
      <c r="D52">
        <f>IF(C52="", "", TEXT(C52, "ddd"))</f>
        <v/>
      </c>
      <c r="I52">
        <f>IF(OR(E52="Absent", E52="Leave", E52=""), "", IF(AND(F52&gt;0, G52&gt;0), G52-F52, ""))</f>
        <v/>
      </c>
      <c r="J52">
        <f>IF(I52="", "", MAX(0, I52-TIME(9,0,0)))</f>
        <v/>
      </c>
      <c r="K52">
        <f>IF(I52="", "", I52 + IF(H52="", 0, H52))</f>
        <v/>
      </c>
    </row>
    <row r="53">
      <c r="B53">
        <f>IF(A53="", "", IFERROR(VLOOKUP(A53, "Employee Master"!$A:$B, 2, FALSE), ""))</f>
        <v/>
      </c>
      <c r="D53">
        <f>IF(C53="", "", TEXT(C53, "ddd"))</f>
        <v/>
      </c>
      <c r="I53">
        <f>IF(OR(E53="Absent", E53="Leave", E53=""), "", IF(AND(F53&gt;0, G53&gt;0), G53-F53, ""))</f>
        <v/>
      </c>
      <c r="J53">
        <f>IF(I53="", "", MAX(0, I53-TIME(9,0,0)))</f>
        <v/>
      </c>
      <c r="K53">
        <f>IF(I53="", "", I53 + IF(H53="", 0, H53))</f>
        <v/>
      </c>
    </row>
    <row r="54">
      <c r="B54">
        <f>IF(A54="", "", IFERROR(VLOOKUP(A54, "Employee Master"!$A:$B, 2, FALSE), ""))</f>
        <v/>
      </c>
      <c r="D54">
        <f>IF(C54="", "", TEXT(C54, "ddd"))</f>
        <v/>
      </c>
      <c r="I54">
        <f>IF(OR(E54="Absent", E54="Leave", E54=""), "", IF(AND(F54&gt;0, G54&gt;0), G54-F54, ""))</f>
        <v/>
      </c>
      <c r="J54">
        <f>IF(I54="", "", MAX(0, I54-TIME(9,0,0)))</f>
        <v/>
      </c>
      <c r="K54">
        <f>IF(I54="", "", I54 + IF(H54="", 0, H54))</f>
        <v/>
      </c>
    </row>
    <row r="55">
      <c r="B55">
        <f>IF(A55="", "", IFERROR(VLOOKUP(A55, "Employee Master"!$A:$B, 2, FALSE), ""))</f>
        <v/>
      </c>
      <c r="D55">
        <f>IF(C55="", "", TEXT(C55, "ddd"))</f>
        <v/>
      </c>
      <c r="I55">
        <f>IF(OR(E55="Absent", E55="Leave", E55=""), "", IF(AND(F55&gt;0, G55&gt;0), G55-F55, ""))</f>
        <v/>
      </c>
      <c r="J55">
        <f>IF(I55="", "", MAX(0, I55-TIME(9,0,0)))</f>
        <v/>
      </c>
      <c r="K55">
        <f>IF(I55="", "", I55 + IF(H55="", 0, H55))</f>
        <v/>
      </c>
    </row>
    <row r="56">
      <c r="B56">
        <f>IF(A56="", "", IFERROR(VLOOKUP(A56, "Employee Master"!$A:$B, 2, FALSE), ""))</f>
        <v/>
      </c>
      <c r="D56">
        <f>IF(C56="", "", TEXT(C56, "ddd"))</f>
        <v/>
      </c>
      <c r="I56">
        <f>IF(OR(E56="Absent", E56="Leave", E56=""), "", IF(AND(F56&gt;0, G56&gt;0), G56-F56, ""))</f>
        <v/>
      </c>
      <c r="J56">
        <f>IF(I56="", "", MAX(0, I56-TIME(9,0,0)))</f>
        <v/>
      </c>
      <c r="K56">
        <f>IF(I56="", "", I56 + IF(H56="", 0, H56))</f>
        <v/>
      </c>
    </row>
    <row r="57">
      <c r="B57">
        <f>IF(A57="", "", IFERROR(VLOOKUP(A57, "Employee Master"!$A:$B, 2, FALSE), ""))</f>
        <v/>
      </c>
      <c r="D57">
        <f>IF(C57="", "", TEXT(C57, "ddd"))</f>
        <v/>
      </c>
      <c r="I57">
        <f>IF(OR(E57="Absent", E57="Leave", E57=""), "", IF(AND(F57&gt;0, G57&gt;0), G57-F57, ""))</f>
        <v/>
      </c>
      <c r="J57">
        <f>IF(I57="", "", MAX(0, I57-TIME(9,0,0)))</f>
        <v/>
      </c>
      <c r="K57">
        <f>IF(I57="", "", I57 + IF(H57="", 0, H57))</f>
        <v/>
      </c>
    </row>
    <row r="58">
      <c r="B58">
        <f>IF(A58="", "", IFERROR(VLOOKUP(A58, "Employee Master"!$A:$B, 2, FALSE), ""))</f>
        <v/>
      </c>
      <c r="D58">
        <f>IF(C58="", "", TEXT(C58, "ddd"))</f>
        <v/>
      </c>
      <c r="I58">
        <f>IF(OR(E58="Absent", E58="Leave", E58=""), "", IF(AND(F58&gt;0, G58&gt;0), G58-F58, ""))</f>
        <v/>
      </c>
      <c r="J58">
        <f>IF(I58="", "", MAX(0, I58-TIME(9,0,0)))</f>
        <v/>
      </c>
      <c r="K58">
        <f>IF(I58="", "", I58 + IF(H58="", 0, H58))</f>
        <v/>
      </c>
    </row>
    <row r="59">
      <c r="B59">
        <f>IF(A59="", "", IFERROR(VLOOKUP(A59, "Employee Master"!$A:$B, 2, FALSE), ""))</f>
        <v/>
      </c>
      <c r="D59">
        <f>IF(C59="", "", TEXT(C59, "ddd"))</f>
        <v/>
      </c>
      <c r="I59">
        <f>IF(OR(E59="Absent", E59="Leave", E59=""), "", IF(AND(F59&gt;0, G59&gt;0), G59-F59, ""))</f>
        <v/>
      </c>
      <c r="J59">
        <f>IF(I59="", "", MAX(0, I59-TIME(9,0,0)))</f>
        <v/>
      </c>
      <c r="K59">
        <f>IF(I59="", "", I59 + IF(H59="", 0, H59))</f>
        <v/>
      </c>
    </row>
    <row r="60">
      <c r="B60">
        <f>IF(A60="", "", IFERROR(VLOOKUP(A60, "Employee Master"!$A:$B, 2, FALSE), ""))</f>
        <v/>
      </c>
      <c r="D60">
        <f>IF(C60="", "", TEXT(C60, "ddd"))</f>
        <v/>
      </c>
      <c r="I60">
        <f>IF(OR(E60="Absent", E60="Leave", E60=""), "", IF(AND(F60&gt;0, G60&gt;0), G60-F60, ""))</f>
        <v/>
      </c>
      <c r="J60">
        <f>IF(I60="", "", MAX(0, I60-TIME(9,0,0)))</f>
        <v/>
      </c>
      <c r="K60">
        <f>IF(I60="", "", I60 + IF(H60="", 0, H60))</f>
        <v/>
      </c>
    </row>
    <row r="61">
      <c r="B61">
        <f>IF(A61="", "", IFERROR(VLOOKUP(A61, "Employee Master"!$A:$B, 2, FALSE), ""))</f>
        <v/>
      </c>
      <c r="D61">
        <f>IF(C61="", "", TEXT(C61, "ddd"))</f>
        <v/>
      </c>
      <c r="I61">
        <f>IF(OR(E61="Absent", E61="Leave", E61=""), "", IF(AND(F61&gt;0, G61&gt;0), G61-F61, ""))</f>
        <v/>
      </c>
      <c r="J61">
        <f>IF(I61="", "", MAX(0, I61-TIME(9,0,0)))</f>
        <v/>
      </c>
      <c r="K61">
        <f>IF(I61="", "", I61 + IF(H61="", 0, H61))</f>
        <v/>
      </c>
    </row>
    <row r="62">
      <c r="B62">
        <f>IF(A62="", "", IFERROR(VLOOKUP(A62, "Employee Master"!$A:$B, 2, FALSE), ""))</f>
        <v/>
      </c>
      <c r="D62">
        <f>IF(C62="", "", TEXT(C62, "ddd"))</f>
        <v/>
      </c>
      <c r="I62">
        <f>IF(OR(E62="Absent", E62="Leave", E62=""), "", IF(AND(F62&gt;0, G62&gt;0), G62-F62, ""))</f>
        <v/>
      </c>
      <c r="J62">
        <f>IF(I62="", "", MAX(0, I62-TIME(9,0,0)))</f>
        <v/>
      </c>
      <c r="K62">
        <f>IF(I62="", "", I62 + IF(H62="", 0, H62))</f>
        <v/>
      </c>
    </row>
    <row r="63">
      <c r="B63">
        <f>IF(A63="", "", IFERROR(VLOOKUP(A63, "Employee Master"!$A:$B, 2, FALSE), ""))</f>
        <v/>
      </c>
      <c r="D63">
        <f>IF(C63="", "", TEXT(C63, "ddd"))</f>
        <v/>
      </c>
      <c r="I63">
        <f>IF(OR(E63="Absent", E63="Leave", E63=""), "", IF(AND(F63&gt;0, G63&gt;0), G63-F63, ""))</f>
        <v/>
      </c>
      <c r="J63">
        <f>IF(I63="", "", MAX(0, I63-TIME(9,0,0)))</f>
        <v/>
      </c>
      <c r="K63">
        <f>IF(I63="", "", I63 + IF(H63="", 0, H63))</f>
        <v/>
      </c>
    </row>
    <row r="64">
      <c r="B64">
        <f>IF(A64="", "", IFERROR(VLOOKUP(A64, "Employee Master"!$A:$B, 2, FALSE), ""))</f>
        <v/>
      </c>
      <c r="D64">
        <f>IF(C64="", "", TEXT(C64, "ddd"))</f>
        <v/>
      </c>
      <c r="I64">
        <f>IF(OR(E64="Absent", E64="Leave", E64=""), "", IF(AND(F64&gt;0, G64&gt;0), G64-F64, ""))</f>
        <v/>
      </c>
      <c r="J64">
        <f>IF(I64="", "", MAX(0, I64-TIME(9,0,0)))</f>
        <v/>
      </c>
      <c r="K64">
        <f>IF(I64="", "", I64 + IF(H64="", 0, H64))</f>
        <v/>
      </c>
    </row>
    <row r="65">
      <c r="B65">
        <f>IF(A65="", "", IFERROR(VLOOKUP(A65, "Employee Master"!$A:$B, 2, FALSE), ""))</f>
        <v/>
      </c>
      <c r="D65">
        <f>IF(C65="", "", TEXT(C65, "ddd"))</f>
        <v/>
      </c>
      <c r="I65">
        <f>IF(OR(E65="Absent", E65="Leave", E65=""), "", IF(AND(F65&gt;0, G65&gt;0), G65-F65, ""))</f>
        <v/>
      </c>
      <c r="J65">
        <f>IF(I65="", "", MAX(0, I65-TIME(9,0,0)))</f>
        <v/>
      </c>
      <c r="K65">
        <f>IF(I65="", "", I65 + IF(H65="", 0, H65))</f>
        <v/>
      </c>
    </row>
    <row r="66">
      <c r="B66">
        <f>IF(A66="", "", IFERROR(VLOOKUP(A66, "Employee Master"!$A:$B, 2, FALSE), ""))</f>
        <v/>
      </c>
      <c r="D66">
        <f>IF(C66="", "", TEXT(C66, "ddd"))</f>
        <v/>
      </c>
      <c r="I66">
        <f>IF(OR(E66="Absent", E66="Leave", E66=""), "", IF(AND(F66&gt;0, G66&gt;0), G66-F66, ""))</f>
        <v/>
      </c>
      <c r="J66">
        <f>IF(I66="", "", MAX(0, I66-TIME(9,0,0)))</f>
        <v/>
      </c>
      <c r="K66">
        <f>IF(I66="", "", I66 + IF(H66="", 0, H66))</f>
        <v/>
      </c>
    </row>
    <row r="67">
      <c r="B67">
        <f>IF(A67="", "", IFERROR(VLOOKUP(A67, "Employee Master"!$A:$B, 2, FALSE), ""))</f>
        <v/>
      </c>
      <c r="D67">
        <f>IF(C67="", "", TEXT(C67, "ddd"))</f>
        <v/>
      </c>
      <c r="I67">
        <f>IF(OR(E67="Absent", E67="Leave", E67=""), "", IF(AND(F67&gt;0, G67&gt;0), G67-F67, ""))</f>
        <v/>
      </c>
      <c r="J67">
        <f>IF(I67="", "", MAX(0, I67-TIME(9,0,0)))</f>
        <v/>
      </c>
      <c r="K67">
        <f>IF(I67="", "", I67 + IF(H67="", 0, H67))</f>
        <v/>
      </c>
    </row>
    <row r="68">
      <c r="B68">
        <f>IF(A68="", "", IFERROR(VLOOKUP(A68, "Employee Master"!$A:$B, 2, FALSE), ""))</f>
        <v/>
      </c>
      <c r="D68">
        <f>IF(C68="", "", TEXT(C68, "ddd"))</f>
        <v/>
      </c>
      <c r="I68">
        <f>IF(OR(E68="Absent", E68="Leave", E68=""), "", IF(AND(F68&gt;0, G68&gt;0), G68-F68, ""))</f>
        <v/>
      </c>
      <c r="J68">
        <f>IF(I68="", "", MAX(0, I68-TIME(9,0,0)))</f>
        <v/>
      </c>
      <c r="K68">
        <f>IF(I68="", "", I68 + IF(H68="", 0, H68))</f>
        <v/>
      </c>
    </row>
    <row r="69">
      <c r="B69">
        <f>IF(A69="", "", IFERROR(VLOOKUP(A69, "Employee Master"!$A:$B, 2, FALSE), ""))</f>
        <v/>
      </c>
      <c r="D69">
        <f>IF(C69="", "", TEXT(C69, "ddd"))</f>
        <v/>
      </c>
      <c r="I69">
        <f>IF(OR(E69="Absent", E69="Leave", E69=""), "", IF(AND(F69&gt;0, G69&gt;0), G69-F69, ""))</f>
        <v/>
      </c>
      <c r="J69">
        <f>IF(I69="", "", MAX(0, I69-TIME(9,0,0)))</f>
        <v/>
      </c>
      <c r="K69">
        <f>IF(I69="", "", I69 + IF(H69="", 0, H69))</f>
        <v/>
      </c>
    </row>
    <row r="70">
      <c r="B70">
        <f>IF(A70="", "", IFERROR(VLOOKUP(A70, "Employee Master"!$A:$B, 2, FALSE), ""))</f>
        <v/>
      </c>
      <c r="D70">
        <f>IF(C70="", "", TEXT(C70, "ddd"))</f>
        <v/>
      </c>
      <c r="I70">
        <f>IF(OR(E70="Absent", E70="Leave", E70=""), "", IF(AND(F70&gt;0, G70&gt;0), G70-F70, ""))</f>
        <v/>
      </c>
      <c r="J70">
        <f>IF(I70="", "", MAX(0, I70-TIME(9,0,0)))</f>
        <v/>
      </c>
      <c r="K70">
        <f>IF(I70="", "", I70 + IF(H70="", 0, H70))</f>
        <v/>
      </c>
    </row>
    <row r="71">
      <c r="B71">
        <f>IF(A71="", "", IFERROR(VLOOKUP(A71, "Employee Master"!$A:$B, 2, FALSE), ""))</f>
        <v/>
      </c>
      <c r="D71">
        <f>IF(C71="", "", TEXT(C71, "ddd"))</f>
        <v/>
      </c>
      <c r="I71">
        <f>IF(OR(E71="Absent", E71="Leave", E71=""), "", IF(AND(F71&gt;0, G71&gt;0), G71-F71, ""))</f>
        <v/>
      </c>
      <c r="J71">
        <f>IF(I71="", "", MAX(0, I71-TIME(9,0,0)))</f>
        <v/>
      </c>
      <c r="K71">
        <f>IF(I71="", "", I71 + IF(H71="", 0, H71))</f>
        <v/>
      </c>
    </row>
    <row r="72">
      <c r="B72">
        <f>IF(A72="", "", IFERROR(VLOOKUP(A72, "Employee Master"!$A:$B, 2, FALSE), ""))</f>
        <v/>
      </c>
      <c r="D72">
        <f>IF(C72="", "", TEXT(C72, "ddd"))</f>
        <v/>
      </c>
      <c r="I72">
        <f>IF(OR(E72="Absent", E72="Leave", E72=""), "", IF(AND(F72&gt;0, G72&gt;0), G72-F72, ""))</f>
        <v/>
      </c>
      <c r="J72">
        <f>IF(I72="", "", MAX(0, I72-TIME(9,0,0)))</f>
        <v/>
      </c>
      <c r="K72">
        <f>IF(I72="", "", I72 + IF(H72="", 0, H72))</f>
        <v/>
      </c>
    </row>
    <row r="73">
      <c r="B73">
        <f>IF(A73="", "", IFERROR(VLOOKUP(A73, "Employee Master"!$A:$B, 2, FALSE), ""))</f>
        <v/>
      </c>
      <c r="D73">
        <f>IF(C73="", "", TEXT(C73, "ddd"))</f>
        <v/>
      </c>
      <c r="I73">
        <f>IF(OR(E73="Absent", E73="Leave", E73=""), "", IF(AND(F73&gt;0, G73&gt;0), G73-F73, ""))</f>
        <v/>
      </c>
      <c r="J73">
        <f>IF(I73="", "", MAX(0, I73-TIME(9,0,0)))</f>
        <v/>
      </c>
      <c r="K73">
        <f>IF(I73="", "", I73 + IF(H73="", 0, H73))</f>
        <v/>
      </c>
    </row>
    <row r="74">
      <c r="B74">
        <f>IF(A74="", "", IFERROR(VLOOKUP(A74, "Employee Master"!$A:$B, 2, FALSE), ""))</f>
        <v/>
      </c>
      <c r="D74">
        <f>IF(C74="", "", TEXT(C74, "ddd"))</f>
        <v/>
      </c>
      <c r="I74">
        <f>IF(OR(E74="Absent", E74="Leave", E74=""), "", IF(AND(F74&gt;0, G74&gt;0), G74-F74, ""))</f>
        <v/>
      </c>
      <c r="J74">
        <f>IF(I74="", "", MAX(0, I74-TIME(9,0,0)))</f>
        <v/>
      </c>
      <c r="K74">
        <f>IF(I74="", "", I74 + IF(H74="", 0, H74))</f>
        <v/>
      </c>
    </row>
    <row r="75">
      <c r="B75">
        <f>IF(A75="", "", IFERROR(VLOOKUP(A75, "Employee Master"!$A:$B, 2, FALSE), ""))</f>
        <v/>
      </c>
      <c r="D75">
        <f>IF(C75="", "", TEXT(C75, "ddd"))</f>
        <v/>
      </c>
      <c r="I75">
        <f>IF(OR(E75="Absent", E75="Leave", E75=""), "", IF(AND(F75&gt;0, G75&gt;0), G75-F75, ""))</f>
        <v/>
      </c>
      <c r="J75">
        <f>IF(I75="", "", MAX(0, I75-TIME(9,0,0)))</f>
        <v/>
      </c>
      <c r="K75">
        <f>IF(I75="", "", I75 + IF(H75="", 0, H75))</f>
        <v/>
      </c>
    </row>
    <row r="76">
      <c r="B76">
        <f>IF(A76="", "", IFERROR(VLOOKUP(A76, "Employee Master"!$A:$B, 2, FALSE), ""))</f>
        <v/>
      </c>
      <c r="D76">
        <f>IF(C76="", "", TEXT(C76, "ddd"))</f>
        <v/>
      </c>
      <c r="I76">
        <f>IF(OR(E76="Absent", E76="Leave", E76=""), "", IF(AND(F76&gt;0, G76&gt;0), G76-F76, ""))</f>
        <v/>
      </c>
      <c r="J76">
        <f>IF(I76="", "", MAX(0, I76-TIME(9,0,0)))</f>
        <v/>
      </c>
      <c r="K76">
        <f>IF(I76="", "", I76 + IF(H76="", 0, H76))</f>
        <v/>
      </c>
    </row>
    <row r="77">
      <c r="B77">
        <f>IF(A77="", "", IFERROR(VLOOKUP(A77, "Employee Master"!$A:$B, 2, FALSE), ""))</f>
        <v/>
      </c>
      <c r="D77">
        <f>IF(C77="", "", TEXT(C77, "ddd"))</f>
        <v/>
      </c>
      <c r="I77">
        <f>IF(OR(E77="Absent", E77="Leave", E77=""), "", IF(AND(F77&gt;0, G77&gt;0), G77-F77, ""))</f>
        <v/>
      </c>
      <c r="J77">
        <f>IF(I77="", "", MAX(0, I77-TIME(9,0,0)))</f>
        <v/>
      </c>
      <c r="K77">
        <f>IF(I77="", "", I77 + IF(H77="", 0, H77))</f>
        <v/>
      </c>
    </row>
    <row r="78">
      <c r="B78">
        <f>IF(A78="", "", IFERROR(VLOOKUP(A78, "Employee Master"!$A:$B, 2, FALSE), ""))</f>
        <v/>
      </c>
      <c r="D78">
        <f>IF(C78="", "", TEXT(C78, "ddd"))</f>
        <v/>
      </c>
      <c r="I78">
        <f>IF(OR(E78="Absent", E78="Leave", E78=""), "", IF(AND(F78&gt;0, G78&gt;0), G78-F78, ""))</f>
        <v/>
      </c>
      <c r="J78">
        <f>IF(I78="", "", MAX(0, I78-TIME(9,0,0)))</f>
        <v/>
      </c>
      <c r="K78">
        <f>IF(I78="", "", I78 + IF(H78="", 0, H78))</f>
        <v/>
      </c>
    </row>
    <row r="79">
      <c r="B79">
        <f>IF(A79="", "", IFERROR(VLOOKUP(A79, "Employee Master"!$A:$B, 2, FALSE), ""))</f>
        <v/>
      </c>
      <c r="D79">
        <f>IF(C79="", "", TEXT(C79, "ddd"))</f>
        <v/>
      </c>
      <c r="I79">
        <f>IF(OR(E79="Absent", E79="Leave", E79=""), "", IF(AND(F79&gt;0, G79&gt;0), G79-F79, ""))</f>
        <v/>
      </c>
      <c r="J79">
        <f>IF(I79="", "", MAX(0, I79-TIME(9,0,0)))</f>
        <v/>
      </c>
      <c r="K79">
        <f>IF(I79="", "", I79 + IF(H79="", 0, H79))</f>
        <v/>
      </c>
    </row>
    <row r="80">
      <c r="B80">
        <f>IF(A80="", "", IFERROR(VLOOKUP(A80, "Employee Master"!$A:$B, 2, FALSE), ""))</f>
        <v/>
      </c>
      <c r="D80">
        <f>IF(C80="", "", TEXT(C80, "ddd"))</f>
        <v/>
      </c>
      <c r="I80">
        <f>IF(OR(E80="Absent", E80="Leave", E80=""), "", IF(AND(F80&gt;0, G80&gt;0), G80-F80, ""))</f>
        <v/>
      </c>
      <c r="J80">
        <f>IF(I80="", "", MAX(0, I80-TIME(9,0,0)))</f>
        <v/>
      </c>
      <c r="K80">
        <f>IF(I80="", "", I80 + IF(H80="", 0, H80))</f>
        <v/>
      </c>
    </row>
    <row r="81">
      <c r="B81">
        <f>IF(A81="", "", IFERROR(VLOOKUP(A81, "Employee Master"!$A:$B, 2, FALSE), ""))</f>
        <v/>
      </c>
      <c r="D81">
        <f>IF(C81="", "", TEXT(C81, "ddd"))</f>
        <v/>
      </c>
      <c r="I81">
        <f>IF(OR(E81="Absent", E81="Leave", E81=""), "", IF(AND(F81&gt;0, G81&gt;0), G81-F81, ""))</f>
        <v/>
      </c>
      <c r="J81">
        <f>IF(I81="", "", MAX(0, I81-TIME(9,0,0)))</f>
        <v/>
      </c>
      <c r="K81">
        <f>IF(I81="", "", I81 + IF(H81="", 0, H81))</f>
        <v/>
      </c>
    </row>
    <row r="82">
      <c r="B82">
        <f>IF(A82="", "", IFERROR(VLOOKUP(A82, "Employee Master"!$A:$B, 2, FALSE), ""))</f>
        <v/>
      </c>
      <c r="D82">
        <f>IF(C82="", "", TEXT(C82, "ddd"))</f>
        <v/>
      </c>
      <c r="I82">
        <f>IF(OR(E82="Absent", E82="Leave", E82=""), "", IF(AND(F82&gt;0, G82&gt;0), G82-F82, ""))</f>
        <v/>
      </c>
      <c r="J82">
        <f>IF(I82="", "", MAX(0, I82-TIME(9,0,0)))</f>
        <v/>
      </c>
      <c r="K82">
        <f>IF(I82="", "", I82 + IF(H82="", 0, H82))</f>
        <v/>
      </c>
    </row>
    <row r="83">
      <c r="B83">
        <f>IF(A83="", "", IFERROR(VLOOKUP(A83, "Employee Master"!$A:$B, 2, FALSE), ""))</f>
        <v/>
      </c>
      <c r="D83">
        <f>IF(C83="", "", TEXT(C83, "ddd"))</f>
        <v/>
      </c>
      <c r="I83">
        <f>IF(OR(E83="Absent", E83="Leave", E83=""), "", IF(AND(F83&gt;0, G83&gt;0), G83-F83, ""))</f>
        <v/>
      </c>
      <c r="J83">
        <f>IF(I83="", "", MAX(0, I83-TIME(9,0,0)))</f>
        <v/>
      </c>
      <c r="K83">
        <f>IF(I83="", "", I83 + IF(H83="", 0, H83))</f>
        <v/>
      </c>
    </row>
    <row r="84">
      <c r="B84">
        <f>IF(A84="", "", IFERROR(VLOOKUP(A84, "Employee Master"!$A:$B, 2, FALSE), ""))</f>
        <v/>
      </c>
      <c r="D84">
        <f>IF(C84="", "", TEXT(C84, "ddd"))</f>
        <v/>
      </c>
      <c r="I84">
        <f>IF(OR(E84="Absent", E84="Leave", E84=""), "", IF(AND(F84&gt;0, G84&gt;0), G84-F84, ""))</f>
        <v/>
      </c>
      <c r="J84">
        <f>IF(I84="", "", MAX(0, I84-TIME(9,0,0)))</f>
        <v/>
      </c>
      <c r="K84">
        <f>IF(I84="", "", I84 + IF(H84="", 0, H84))</f>
        <v/>
      </c>
    </row>
    <row r="85">
      <c r="B85">
        <f>IF(A85="", "", IFERROR(VLOOKUP(A85, "Employee Master"!$A:$B, 2, FALSE), ""))</f>
        <v/>
      </c>
      <c r="D85">
        <f>IF(C85="", "", TEXT(C85, "ddd"))</f>
        <v/>
      </c>
      <c r="I85">
        <f>IF(OR(E85="Absent", E85="Leave", E85=""), "", IF(AND(F85&gt;0, G85&gt;0), G85-F85, ""))</f>
        <v/>
      </c>
      <c r="J85">
        <f>IF(I85="", "", MAX(0, I85-TIME(9,0,0)))</f>
        <v/>
      </c>
      <c r="K85">
        <f>IF(I85="", "", I85 + IF(H85="", 0, H85))</f>
        <v/>
      </c>
    </row>
    <row r="86">
      <c r="B86">
        <f>IF(A86="", "", IFERROR(VLOOKUP(A86, "Employee Master"!$A:$B, 2, FALSE), ""))</f>
        <v/>
      </c>
      <c r="D86">
        <f>IF(C86="", "", TEXT(C86, "ddd"))</f>
        <v/>
      </c>
      <c r="I86">
        <f>IF(OR(E86="Absent", E86="Leave", E86=""), "", IF(AND(F86&gt;0, G86&gt;0), G86-F86, ""))</f>
        <v/>
      </c>
      <c r="J86">
        <f>IF(I86="", "", MAX(0, I86-TIME(9,0,0)))</f>
        <v/>
      </c>
      <c r="K86">
        <f>IF(I86="", "", I86 + IF(H86="", 0, H86))</f>
        <v/>
      </c>
    </row>
    <row r="87">
      <c r="B87">
        <f>IF(A87="", "", IFERROR(VLOOKUP(A87, "Employee Master"!$A:$B, 2, FALSE), ""))</f>
        <v/>
      </c>
      <c r="D87">
        <f>IF(C87="", "", TEXT(C87, "ddd"))</f>
        <v/>
      </c>
      <c r="I87">
        <f>IF(OR(E87="Absent", E87="Leave", E87=""), "", IF(AND(F87&gt;0, G87&gt;0), G87-F87, ""))</f>
        <v/>
      </c>
      <c r="J87">
        <f>IF(I87="", "", MAX(0, I87-TIME(9,0,0)))</f>
        <v/>
      </c>
      <c r="K87">
        <f>IF(I87="", "", I87 + IF(H87="", 0, H87))</f>
        <v/>
      </c>
    </row>
    <row r="88">
      <c r="B88">
        <f>IF(A88="", "", IFERROR(VLOOKUP(A88, "Employee Master"!$A:$B, 2, FALSE), ""))</f>
        <v/>
      </c>
      <c r="D88">
        <f>IF(C88="", "", TEXT(C88, "ddd"))</f>
        <v/>
      </c>
      <c r="I88">
        <f>IF(OR(E88="Absent", E88="Leave", E88=""), "", IF(AND(F88&gt;0, G88&gt;0), G88-F88, ""))</f>
        <v/>
      </c>
      <c r="J88">
        <f>IF(I88="", "", MAX(0, I88-TIME(9,0,0)))</f>
        <v/>
      </c>
      <c r="K88">
        <f>IF(I88="", "", I88 + IF(H88="", 0, H88))</f>
        <v/>
      </c>
    </row>
    <row r="89">
      <c r="B89">
        <f>IF(A89="", "", IFERROR(VLOOKUP(A89, "Employee Master"!$A:$B, 2, FALSE), ""))</f>
        <v/>
      </c>
      <c r="D89">
        <f>IF(C89="", "", TEXT(C89, "ddd"))</f>
        <v/>
      </c>
      <c r="I89">
        <f>IF(OR(E89="Absent", E89="Leave", E89=""), "", IF(AND(F89&gt;0, G89&gt;0), G89-F89, ""))</f>
        <v/>
      </c>
      <c r="J89">
        <f>IF(I89="", "", MAX(0, I89-TIME(9,0,0)))</f>
        <v/>
      </c>
      <c r="K89">
        <f>IF(I89="", "", I89 + IF(H89="", 0, H89))</f>
        <v/>
      </c>
    </row>
    <row r="90">
      <c r="B90">
        <f>IF(A90="", "", IFERROR(VLOOKUP(A90, "Employee Master"!$A:$B, 2, FALSE), ""))</f>
        <v/>
      </c>
      <c r="D90">
        <f>IF(C90="", "", TEXT(C90, "ddd"))</f>
        <v/>
      </c>
      <c r="I90">
        <f>IF(OR(E90="Absent", E90="Leave", E90=""), "", IF(AND(F90&gt;0, G90&gt;0), G90-F90, ""))</f>
        <v/>
      </c>
      <c r="J90">
        <f>IF(I90="", "", MAX(0, I90-TIME(9,0,0)))</f>
        <v/>
      </c>
      <c r="K90">
        <f>IF(I90="", "", I90 + IF(H90="", 0, H90))</f>
        <v/>
      </c>
    </row>
    <row r="91">
      <c r="B91">
        <f>IF(A91="", "", IFERROR(VLOOKUP(A91, "Employee Master"!$A:$B, 2, FALSE), ""))</f>
        <v/>
      </c>
      <c r="D91">
        <f>IF(C91="", "", TEXT(C91, "ddd"))</f>
        <v/>
      </c>
      <c r="I91">
        <f>IF(OR(E91="Absent", E91="Leave", E91=""), "", IF(AND(F91&gt;0, G91&gt;0), G91-F91, ""))</f>
        <v/>
      </c>
      <c r="J91">
        <f>IF(I91="", "", MAX(0, I91-TIME(9,0,0)))</f>
        <v/>
      </c>
      <c r="K91">
        <f>IF(I91="", "", I91 + IF(H91="", 0, H91))</f>
        <v/>
      </c>
    </row>
    <row r="92">
      <c r="B92">
        <f>IF(A92="", "", IFERROR(VLOOKUP(A92, "Employee Master"!$A:$B, 2, FALSE), ""))</f>
        <v/>
      </c>
      <c r="D92">
        <f>IF(C92="", "", TEXT(C92, "ddd"))</f>
        <v/>
      </c>
      <c r="I92">
        <f>IF(OR(E92="Absent", E92="Leave", E92=""), "", IF(AND(F92&gt;0, G92&gt;0), G92-F92, ""))</f>
        <v/>
      </c>
      <c r="J92">
        <f>IF(I92="", "", MAX(0, I92-TIME(9,0,0)))</f>
        <v/>
      </c>
      <c r="K92">
        <f>IF(I92="", "", I92 + IF(H92="", 0, H92))</f>
        <v/>
      </c>
    </row>
    <row r="93">
      <c r="B93">
        <f>IF(A93="", "", IFERROR(VLOOKUP(A93, "Employee Master"!$A:$B, 2, FALSE), ""))</f>
        <v/>
      </c>
      <c r="D93">
        <f>IF(C93="", "", TEXT(C93, "ddd"))</f>
        <v/>
      </c>
      <c r="I93">
        <f>IF(OR(E93="Absent", E93="Leave", E93=""), "", IF(AND(F93&gt;0, G93&gt;0), G93-F93, ""))</f>
        <v/>
      </c>
      <c r="J93">
        <f>IF(I93="", "", MAX(0, I93-TIME(9,0,0)))</f>
        <v/>
      </c>
      <c r="K93">
        <f>IF(I93="", "", I93 + IF(H93="", 0, H93))</f>
        <v/>
      </c>
    </row>
    <row r="94">
      <c r="B94">
        <f>IF(A94="", "", IFERROR(VLOOKUP(A94, "Employee Master"!$A:$B, 2, FALSE), ""))</f>
        <v/>
      </c>
      <c r="D94">
        <f>IF(C94="", "", TEXT(C94, "ddd"))</f>
        <v/>
      </c>
      <c r="I94">
        <f>IF(OR(E94="Absent", E94="Leave", E94=""), "", IF(AND(F94&gt;0, G94&gt;0), G94-F94, ""))</f>
        <v/>
      </c>
      <c r="J94">
        <f>IF(I94="", "", MAX(0, I94-TIME(9,0,0)))</f>
        <v/>
      </c>
      <c r="K94">
        <f>IF(I94="", "", I94 + IF(H94="", 0, H94))</f>
        <v/>
      </c>
    </row>
    <row r="95">
      <c r="B95">
        <f>IF(A95="", "", IFERROR(VLOOKUP(A95, "Employee Master"!$A:$B, 2, FALSE), ""))</f>
        <v/>
      </c>
      <c r="D95">
        <f>IF(C95="", "", TEXT(C95, "ddd"))</f>
        <v/>
      </c>
      <c r="I95">
        <f>IF(OR(E95="Absent", E95="Leave", E95=""), "", IF(AND(F95&gt;0, G95&gt;0), G95-F95, ""))</f>
        <v/>
      </c>
      <c r="J95">
        <f>IF(I95="", "", MAX(0, I95-TIME(9,0,0)))</f>
        <v/>
      </c>
      <c r="K95">
        <f>IF(I95="", "", I95 + IF(H95="", 0, H95))</f>
        <v/>
      </c>
    </row>
    <row r="96">
      <c r="B96">
        <f>IF(A96="", "", IFERROR(VLOOKUP(A96, "Employee Master"!$A:$B, 2, FALSE), ""))</f>
        <v/>
      </c>
      <c r="D96">
        <f>IF(C96="", "", TEXT(C96, "ddd"))</f>
        <v/>
      </c>
      <c r="I96">
        <f>IF(OR(E96="Absent", E96="Leave", E96=""), "", IF(AND(F96&gt;0, G96&gt;0), G96-F96, ""))</f>
        <v/>
      </c>
      <c r="J96">
        <f>IF(I96="", "", MAX(0, I96-TIME(9,0,0)))</f>
        <v/>
      </c>
      <c r="K96">
        <f>IF(I96="", "", I96 + IF(H96="", 0, H96))</f>
        <v/>
      </c>
    </row>
    <row r="97">
      <c r="B97">
        <f>IF(A97="", "", IFERROR(VLOOKUP(A97, "Employee Master"!$A:$B, 2, FALSE), ""))</f>
        <v/>
      </c>
      <c r="D97">
        <f>IF(C97="", "", TEXT(C97, "ddd"))</f>
        <v/>
      </c>
      <c r="I97">
        <f>IF(OR(E97="Absent", E97="Leave", E97=""), "", IF(AND(F97&gt;0, G97&gt;0), G97-F97, ""))</f>
        <v/>
      </c>
      <c r="J97">
        <f>IF(I97="", "", MAX(0, I97-TIME(9,0,0)))</f>
        <v/>
      </c>
      <c r="K97">
        <f>IF(I97="", "", I97 + IF(H97="", 0, H97))</f>
        <v/>
      </c>
    </row>
    <row r="98">
      <c r="B98">
        <f>IF(A98="", "", IFERROR(VLOOKUP(A98, "Employee Master"!$A:$B, 2, FALSE), ""))</f>
        <v/>
      </c>
      <c r="D98">
        <f>IF(C98="", "", TEXT(C98, "ddd"))</f>
        <v/>
      </c>
      <c r="I98">
        <f>IF(OR(E98="Absent", E98="Leave", E98=""), "", IF(AND(F98&gt;0, G98&gt;0), G98-F98, ""))</f>
        <v/>
      </c>
      <c r="J98">
        <f>IF(I98="", "", MAX(0, I98-TIME(9,0,0)))</f>
        <v/>
      </c>
      <c r="K98">
        <f>IF(I98="", "", I98 + IF(H98="", 0, H98))</f>
        <v/>
      </c>
    </row>
    <row r="99">
      <c r="B99">
        <f>IF(A99="", "", IFERROR(VLOOKUP(A99, "Employee Master"!$A:$B, 2, FALSE), ""))</f>
        <v/>
      </c>
      <c r="D99">
        <f>IF(C99="", "", TEXT(C99, "ddd"))</f>
        <v/>
      </c>
      <c r="I99">
        <f>IF(OR(E99="Absent", E99="Leave", E99=""), "", IF(AND(F99&gt;0, G99&gt;0), G99-F99, ""))</f>
        <v/>
      </c>
      <c r="J99">
        <f>IF(I99="", "", MAX(0, I99-TIME(9,0,0)))</f>
        <v/>
      </c>
      <c r="K99">
        <f>IF(I99="", "", I99 + IF(H99="", 0, H99))</f>
        <v/>
      </c>
    </row>
    <row r="100">
      <c r="B100">
        <f>IF(A100="", "", IFERROR(VLOOKUP(A100, "Employee Master"!$A:$B, 2, FALSE), ""))</f>
        <v/>
      </c>
      <c r="D100">
        <f>IF(C100="", "", TEXT(C100, "ddd"))</f>
        <v/>
      </c>
      <c r="I100">
        <f>IF(OR(E100="Absent", E100="Leave", E100=""), "", IF(AND(F100&gt;0, G100&gt;0), G100-F100, ""))</f>
        <v/>
      </c>
      <c r="J100">
        <f>IF(I100="", "", MAX(0, I100-TIME(9,0,0)))</f>
        <v/>
      </c>
      <c r="K100">
        <f>IF(I100="", "", I100 + IF(H100="", 0, H100))</f>
        <v/>
      </c>
    </row>
    <row r="101">
      <c r="B101">
        <f>IF(A101="", "", IFERROR(VLOOKUP(A101, "Employee Master"!$A:$B, 2, FALSE), ""))</f>
        <v/>
      </c>
      <c r="D101">
        <f>IF(C101="", "", TEXT(C101, "ddd"))</f>
        <v/>
      </c>
      <c r="I101">
        <f>IF(OR(E101="Absent", E101="Leave", E101=""), "", IF(AND(F101&gt;0, G101&gt;0), G101-F101, ""))</f>
        <v/>
      </c>
      <c r="J101">
        <f>IF(I101="", "", MAX(0, I101-TIME(9,0,0)))</f>
        <v/>
      </c>
      <c r="K101">
        <f>IF(I101="", "", I101 + IF(H101="", 0, H101))</f>
        <v/>
      </c>
    </row>
    <row r="102">
      <c r="B102">
        <f>IF(A102="", "", IFERROR(VLOOKUP(A102, "Employee Master"!$A:$B, 2, FALSE), ""))</f>
        <v/>
      </c>
      <c r="D102">
        <f>IF(C102="", "", TEXT(C102, "ddd"))</f>
        <v/>
      </c>
      <c r="I102">
        <f>IF(OR(E102="Absent", E102="Leave", E102=""), "", IF(AND(F102&gt;0, G102&gt;0), G102-F102, ""))</f>
        <v/>
      </c>
      <c r="J102">
        <f>IF(I102="", "", MAX(0, I102-TIME(9,0,0)))</f>
        <v/>
      </c>
      <c r="K102">
        <f>IF(I102="", "", I102 + IF(H102="", 0, H102))</f>
        <v/>
      </c>
    </row>
    <row r="103">
      <c r="B103">
        <f>IF(A103="", "", IFERROR(VLOOKUP(A103, "Employee Master"!$A:$B, 2, FALSE), ""))</f>
        <v/>
      </c>
      <c r="D103">
        <f>IF(C103="", "", TEXT(C103, "ddd"))</f>
        <v/>
      </c>
      <c r="I103">
        <f>IF(OR(E103="Absent", E103="Leave", E103=""), "", IF(AND(F103&gt;0, G103&gt;0), G103-F103, ""))</f>
        <v/>
      </c>
      <c r="J103">
        <f>IF(I103="", "", MAX(0, I103-TIME(9,0,0)))</f>
        <v/>
      </c>
      <c r="K103">
        <f>IF(I103="", "", I103 + IF(H103="", 0, H103))</f>
        <v/>
      </c>
    </row>
    <row r="104">
      <c r="B104">
        <f>IF(A104="", "", IFERROR(VLOOKUP(A104, "Employee Master"!$A:$B, 2, FALSE), ""))</f>
        <v/>
      </c>
      <c r="D104">
        <f>IF(C104="", "", TEXT(C104, "ddd"))</f>
        <v/>
      </c>
      <c r="I104">
        <f>IF(OR(E104="Absent", E104="Leave", E104=""), "", IF(AND(F104&gt;0, G104&gt;0), G104-F104, ""))</f>
        <v/>
      </c>
      <c r="J104">
        <f>IF(I104="", "", MAX(0, I104-TIME(9,0,0)))</f>
        <v/>
      </c>
      <c r="K104">
        <f>IF(I104="", "", I104 + IF(H104="", 0, H104))</f>
        <v/>
      </c>
    </row>
    <row r="105">
      <c r="B105">
        <f>IF(A105="", "", IFERROR(VLOOKUP(A105, "Employee Master"!$A:$B, 2, FALSE), ""))</f>
        <v/>
      </c>
      <c r="D105">
        <f>IF(C105="", "", TEXT(C105, "ddd"))</f>
        <v/>
      </c>
      <c r="I105">
        <f>IF(OR(E105="Absent", E105="Leave", E105=""), "", IF(AND(F105&gt;0, G105&gt;0), G105-F105, ""))</f>
        <v/>
      </c>
      <c r="J105">
        <f>IF(I105="", "", MAX(0, I105-TIME(9,0,0)))</f>
        <v/>
      </c>
      <c r="K105">
        <f>IF(I105="", "", I105 + IF(H105="", 0, H105))</f>
        <v/>
      </c>
    </row>
    <row r="106">
      <c r="B106">
        <f>IF(A106="", "", IFERROR(VLOOKUP(A106, "Employee Master"!$A:$B, 2, FALSE), ""))</f>
        <v/>
      </c>
      <c r="D106">
        <f>IF(C106="", "", TEXT(C106, "ddd"))</f>
        <v/>
      </c>
      <c r="I106">
        <f>IF(OR(E106="Absent", E106="Leave", E106=""), "", IF(AND(F106&gt;0, G106&gt;0), G106-F106, ""))</f>
        <v/>
      </c>
      <c r="J106">
        <f>IF(I106="", "", MAX(0, I106-TIME(9,0,0)))</f>
        <v/>
      </c>
      <c r="K106">
        <f>IF(I106="", "", I106 + IF(H106="", 0, H106))</f>
        <v/>
      </c>
    </row>
    <row r="107">
      <c r="B107">
        <f>IF(A107="", "", IFERROR(VLOOKUP(A107, "Employee Master"!$A:$B, 2, FALSE), ""))</f>
        <v/>
      </c>
      <c r="D107">
        <f>IF(C107="", "", TEXT(C107, "ddd"))</f>
        <v/>
      </c>
      <c r="I107">
        <f>IF(OR(E107="Absent", E107="Leave", E107=""), "", IF(AND(F107&gt;0, G107&gt;0), G107-F107, ""))</f>
        <v/>
      </c>
      <c r="J107">
        <f>IF(I107="", "", MAX(0, I107-TIME(9,0,0)))</f>
        <v/>
      </c>
      <c r="K107">
        <f>IF(I107="", "", I107 + IF(H107="", 0, H107))</f>
        <v/>
      </c>
    </row>
    <row r="108">
      <c r="B108">
        <f>IF(A108="", "", IFERROR(VLOOKUP(A108, "Employee Master"!$A:$B, 2, FALSE), ""))</f>
        <v/>
      </c>
      <c r="D108">
        <f>IF(C108="", "", TEXT(C108, "ddd"))</f>
        <v/>
      </c>
      <c r="I108">
        <f>IF(OR(E108="Absent", E108="Leave", E108=""), "", IF(AND(F108&gt;0, G108&gt;0), G108-F108, ""))</f>
        <v/>
      </c>
      <c r="J108">
        <f>IF(I108="", "", MAX(0, I108-TIME(9,0,0)))</f>
        <v/>
      </c>
      <c r="K108">
        <f>IF(I108="", "", I108 + IF(H108="", 0, H108))</f>
        <v/>
      </c>
    </row>
    <row r="109">
      <c r="B109">
        <f>IF(A109="", "", IFERROR(VLOOKUP(A109, "Employee Master"!$A:$B, 2, FALSE), ""))</f>
        <v/>
      </c>
      <c r="D109">
        <f>IF(C109="", "", TEXT(C109, "ddd"))</f>
        <v/>
      </c>
      <c r="I109">
        <f>IF(OR(E109="Absent", E109="Leave", E109=""), "", IF(AND(F109&gt;0, G109&gt;0), G109-F109, ""))</f>
        <v/>
      </c>
      <c r="J109">
        <f>IF(I109="", "", MAX(0, I109-TIME(9,0,0)))</f>
        <v/>
      </c>
      <c r="K109">
        <f>IF(I109="", "", I109 + IF(H109="", 0, H109))</f>
        <v/>
      </c>
    </row>
    <row r="110">
      <c r="B110">
        <f>IF(A110="", "", IFERROR(VLOOKUP(A110, "Employee Master"!$A:$B, 2, FALSE), ""))</f>
        <v/>
      </c>
      <c r="D110">
        <f>IF(C110="", "", TEXT(C110, "ddd"))</f>
        <v/>
      </c>
      <c r="I110">
        <f>IF(OR(E110="Absent", E110="Leave", E110=""), "", IF(AND(F110&gt;0, G110&gt;0), G110-F110, ""))</f>
        <v/>
      </c>
      <c r="J110">
        <f>IF(I110="", "", MAX(0, I110-TIME(9,0,0)))</f>
        <v/>
      </c>
      <c r="K110">
        <f>IF(I110="", "", I110 + IF(H110="", 0, H110))</f>
        <v/>
      </c>
    </row>
    <row r="111">
      <c r="B111">
        <f>IF(A111="", "", IFERROR(VLOOKUP(A111, "Employee Master"!$A:$B, 2, FALSE), ""))</f>
        <v/>
      </c>
      <c r="D111">
        <f>IF(C111="", "", TEXT(C111, "ddd"))</f>
        <v/>
      </c>
      <c r="I111">
        <f>IF(OR(E111="Absent", E111="Leave", E111=""), "", IF(AND(F111&gt;0, G111&gt;0), G111-F111, ""))</f>
        <v/>
      </c>
      <c r="J111">
        <f>IF(I111="", "", MAX(0, I111-TIME(9,0,0)))</f>
        <v/>
      </c>
      <c r="K111">
        <f>IF(I111="", "", I111 + IF(H111="", 0, H111))</f>
        <v/>
      </c>
    </row>
    <row r="112">
      <c r="B112">
        <f>IF(A112="", "", IFERROR(VLOOKUP(A112, "Employee Master"!$A:$B, 2, FALSE), ""))</f>
        <v/>
      </c>
      <c r="D112">
        <f>IF(C112="", "", TEXT(C112, "ddd"))</f>
        <v/>
      </c>
      <c r="I112">
        <f>IF(OR(E112="Absent", E112="Leave", E112=""), "", IF(AND(F112&gt;0, G112&gt;0), G112-F112, ""))</f>
        <v/>
      </c>
      <c r="J112">
        <f>IF(I112="", "", MAX(0, I112-TIME(9,0,0)))</f>
        <v/>
      </c>
      <c r="K112">
        <f>IF(I112="", "", I112 + IF(H112="", 0, H112))</f>
        <v/>
      </c>
    </row>
    <row r="113">
      <c r="B113">
        <f>IF(A113="", "", IFERROR(VLOOKUP(A113, "Employee Master"!$A:$B, 2, FALSE), ""))</f>
        <v/>
      </c>
      <c r="D113">
        <f>IF(C113="", "", TEXT(C113, "ddd"))</f>
        <v/>
      </c>
      <c r="I113">
        <f>IF(OR(E113="Absent", E113="Leave", E113=""), "", IF(AND(F113&gt;0, G113&gt;0), G113-F113, ""))</f>
        <v/>
      </c>
      <c r="J113">
        <f>IF(I113="", "", MAX(0, I113-TIME(9,0,0)))</f>
        <v/>
      </c>
      <c r="K113">
        <f>IF(I113="", "", I113 + IF(H113="", 0, H113))</f>
        <v/>
      </c>
    </row>
    <row r="114">
      <c r="B114">
        <f>IF(A114="", "", IFERROR(VLOOKUP(A114, "Employee Master"!$A:$B, 2, FALSE), ""))</f>
        <v/>
      </c>
      <c r="D114">
        <f>IF(C114="", "", TEXT(C114, "ddd"))</f>
        <v/>
      </c>
      <c r="I114">
        <f>IF(OR(E114="Absent", E114="Leave", E114=""), "", IF(AND(F114&gt;0, G114&gt;0), G114-F114, ""))</f>
        <v/>
      </c>
      <c r="J114">
        <f>IF(I114="", "", MAX(0, I114-TIME(9,0,0)))</f>
        <v/>
      </c>
      <c r="K114">
        <f>IF(I114="", "", I114 + IF(H114="", 0, H114))</f>
        <v/>
      </c>
    </row>
    <row r="115">
      <c r="B115">
        <f>IF(A115="", "", IFERROR(VLOOKUP(A115, "Employee Master"!$A:$B, 2, FALSE), ""))</f>
        <v/>
      </c>
      <c r="D115">
        <f>IF(C115="", "", TEXT(C115, "ddd"))</f>
        <v/>
      </c>
      <c r="I115">
        <f>IF(OR(E115="Absent", E115="Leave", E115=""), "", IF(AND(F115&gt;0, G115&gt;0), G115-F115, ""))</f>
        <v/>
      </c>
      <c r="J115">
        <f>IF(I115="", "", MAX(0, I115-TIME(9,0,0)))</f>
        <v/>
      </c>
      <c r="K115">
        <f>IF(I115="", "", I115 + IF(H115="", 0, H115))</f>
        <v/>
      </c>
    </row>
    <row r="116">
      <c r="B116">
        <f>IF(A116="", "", IFERROR(VLOOKUP(A116, "Employee Master"!$A:$B, 2, FALSE), ""))</f>
        <v/>
      </c>
      <c r="D116">
        <f>IF(C116="", "", TEXT(C116, "ddd"))</f>
        <v/>
      </c>
      <c r="I116">
        <f>IF(OR(E116="Absent", E116="Leave", E116=""), "", IF(AND(F116&gt;0, G116&gt;0), G116-F116, ""))</f>
        <v/>
      </c>
      <c r="J116">
        <f>IF(I116="", "", MAX(0, I116-TIME(9,0,0)))</f>
        <v/>
      </c>
      <c r="K116">
        <f>IF(I116="", "", I116 + IF(H116="", 0, H116))</f>
        <v/>
      </c>
    </row>
    <row r="117">
      <c r="B117">
        <f>IF(A117="", "", IFERROR(VLOOKUP(A117, "Employee Master"!$A:$B, 2, FALSE), ""))</f>
        <v/>
      </c>
      <c r="D117">
        <f>IF(C117="", "", TEXT(C117, "ddd"))</f>
        <v/>
      </c>
      <c r="I117">
        <f>IF(OR(E117="Absent", E117="Leave", E117=""), "", IF(AND(F117&gt;0, G117&gt;0), G117-F117, ""))</f>
        <v/>
      </c>
      <c r="J117">
        <f>IF(I117="", "", MAX(0, I117-TIME(9,0,0)))</f>
        <v/>
      </c>
      <c r="K117">
        <f>IF(I117="", "", I117 + IF(H117="", 0, H117))</f>
        <v/>
      </c>
    </row>
    <row r="118">
      <c r="B118">
        <f>IF(A118="", "", IFERROR(VLOOKUP(A118, "Employee Master"!$A:$B, 2, FALSE), ""))</f>
        <v/>
      </c>
      <c r="D118">
        <f>IF(C118="", "", TEXT(C118, "ddd"))</f>
        <v/>
      </c>
      <c r="I118">
        <f>IF(OR(E118="Absent", E118="Leave", E118=""), "", IF(AND(F118&gt;0, G118&gt;0), G118-F118, ""))</f>
        <v/>
      </c>
      <c r="J118">
        <f>IF(I118="", "", MAX(0, I118-TIME(9,0,0)))</f>
        <v/>
      </c>
      <c r="K118">
        <f>IF(I118="", "", I118 + IF(H118="", 0, H118))</f>
        <v/>
      </c>
    </row>
    <row r="119">
      <c r="B119">
        <f>IF(A119="", "", IFERROR(VLOOKUP(A119, "Employee Master"!$A:$B, 2, FALSE), ""))</f>
        <v/>
      </c>
      <c r="D119">
        <f>IF(C119="", "", TEXT(C119, "ddd"))</f>
        <v/>
      </c>
      <c r="I119">
        <f>IF(OR(E119="Absent", E119="Leave", E119=""), "", IF(AND(F119&gt;0, G119&gt;0), G119-F119, ""))</f>
        <v/>
      </c>
      <c r="J119">
        <f>IF(I119="", "", MAX(0, I119-TIME(9,0,0)))</f>
        <v/>
      </c>
      <c r="K119">
        <f>IF(I119="", "", I119 + IF(H119="", 0, H119))</f>
        <v/>
      </c>
    </row>
    <row r="120">
      <c r="B120">
        <f>IF(A120="", "", IFERROR(VLOOKUP(A120, "Employee Master"!$A:$B, 2, FALSE), ""))</f>
        <v/>
      </c>
      <c r="D120">
        <f>IF(C120="", "", TEXT(C120, "ddd"))</f>
        <v/>
      </c>
      <c r="I120">
        <f>IF(OR(E120="Absent", E120="Leave", E120=""), "", IF(AND(F120&gt;0, G120&gt;0), G120-F120, ""))</f>
        <v/>
      </c>
      <c r="J120">
        <f>IF(I120="", "", MAX(0, I120-TIME(9,0,0)))</f>
        <v/>
      </c>
      <c r="K120">
        <f>IF(I120="", "", I120 + IF(H120="", 0, H120))</f>
        <v/>
      </c>
    </row>
    <row r="121">
      <c r="B121">
        <f>IF(A121="", "", IFERROR(VLOOKUP(A121, "Employee Master"!$A:$B, 2, FALSE), ""))</f>
        <v/>
      </c>
      <c r="D121">
        <f>IF(C121="", "", TEXT(C121, "ddd"))</f>
        <v/>
      </c>
      <c r="I121">
        <f>IF(OR(E121="Absent", E121="Leave", E121=""), "", IF(AND(F121&gt;0, G121&gt;0), G121-F121, ""))</f>
        <v/>
      </c>
      <c r="J121">
        <f>IF(I121="", "", MAX(0, I121-TIME(9,0,0)))</f>
        <v/>
      </c>
      <c r="K121">
        <f>IF(I121="", "", I121 + IF(H121="", 0, H121))</f>
        <v/>
      </c>
    </row>
    <row r="122">
      <c r="B122">
        <f>IF(A122="", "", IFERROR(VLOOKUP(A122, "Employee Master"!$A:$B, 2, FALSE), ""))</f>
        <v/>
      </c>
      <c r="D122">
        <f>IF(C122="", "", TEXT(C122, "ddd"))</f>
        <v/>
      </c>
      <c r="I122">
        <f>IF(OR(E122="Absent", E122="Leave", E122=""), "", IF(AND(F122&gt;0, G122&gt;0), G122-F122, ""))</f>
        <v/>
      </c>
      <c r="J122">
        <f>IF(I122="", "", MAX(0, I122-TIME(9,0,0)))</f>
        <v/>
      </c>
      <c r="K122">
        <f>IF(I122="", "", I122 + IF(H122="", 0, H122))</f>
        <v/>
      </c>
    </row>
    <row r="123">
      <c r="B123">
        <f>IF(A123="", "", IFERROR(VLOOKUP(A123, "Employee Master"!$A:$B, 2, FALSE), ""))</f>
        <v/>
      </c>
      <c r="D123">
        <f>IF(C123="", "", TEXT(C123, "ddd"))</f>
        <v/>
      </c>
      <c r="I123">
        <f>IF(OR(E123="Absent", E123="Leave", E123=""), "", IF(AND(F123&gt;0, G123&gt;0), G123-F123, ""))</f>
        <v/>
      </c>
      <c r="J123">
        <f>IF(I123="", "", MAX(0, I123-TIME(9,0,0)))</f>
        <v/>
      </c>
      <c r="K123">
        <f>IF(I123="", "", I123 + IF(H123="", 0, H123))</f>
        <v/>
      </c>
    </row>
    <row r="124">
      <c r="B124">
        <f>IF(A124="", "", IFERROR(VLOOKUP(A124, "Employee Master"!$A:$B, 2, FALSE), ""))</f>
        <v/>
      </c>
      <c r="D124">
        <f>IF(C124="", "", TEXT(C124, "ddd"))</f>
        <v/>
      </c>
      <c r="I124">
        <f>IF(OR(E124="Absent", E124="Leave", E124=""), "", IF(AND(F124&gt;0, G124&gt;0), G124-F124, ""))</f>
        <v/>
      </c>
      <c r="J124">
        <f>IF(I124="", "", MAX(0, I124-TIME(9,0,0)))</f>
        <v/>
      </c>
      <c r="K124">
        <f>IF(I124="", "", I124 + IF(H124="", 0, H124))</f>
        <v/>
      </c>
    </row>
    <row r="125">
      <c r="B125">
        <f>IF(A125="", "", IFERROR(VLOOKUP(A125, "Employee Master"!$A:$B, 2, FALSE), ""))</f>
        <v/>
      </c>
      <c r="D125">
        <f>IF(C125="", "", TEXT(C125, "ddd"))</f>
        <v/>
      </c>
      <c r="I125">
        <f>IF(OR(E125="Absent", E125="Leave", E125=""), "", IF(AND(F125&gt;0, G125&gt;0), G125-F125, ""))</f>
        <v/>
      </c>
      <c r="J125">
        <f>IF(I125="", "", MAX(0, I125-TIME(9,0,0)))</f>
        <v/>
      </c>
      <c r="K125">
        <f>IF(I125="", "", I125 + IF(H125="", 0, H125))</f>
        <v/>
      </c>
    </row>
    <row r="126">
      <c r="B126">
        <f>IF(A126="", "", IFERROR(VLOOKUP(A126, "Employee Master"!$A:$B, 2, FALSE), ""))</f>
        <v/>
      </c>
      <c r="D126">
        <f>IF(C126="", "", TEXT(C126, "ddd"))</f>
        <v/>
      </c>
      <c r="I126">
        <f>IF(OR(E126="Absent", E126="Leave", E126=""), "", IF(AND(F126&gt;0, G126&gt;0), G126-F126, ""))</f>
        <v/>
      </c>
      <c r="J126">
        <f>IF(I126="", "", MAX(0, I126-TIME(9,0,0)))</f>
        <v/>
      </c>
      <c r="K126">
        <f>IF(I126="", "", I126 + IF(H126="", 0, H126))</f>
        <v/>
      </c>
    </row>
    <row r="127">
      <c r="B127">
        <f>IF(A127="", "", IFERROR(VLOOKUP(A127, "Employee Master"!$A:$B, 2, FALSE), ""))</f>
        <v/>
      </c>
      <c r="D127">
        <f>IF(C127="", "", TEXT(C127, "ddd"))</f>
        <v/>
      </c>
      <c r="I127">
        <f>IF(OR(E127="Absent", E127="Leave", E127=""), "", IF(AND(F127&gt;0, G127&gt;0), G127-F127, ""))</f>
        <v/>
      </c>
      <c r="J127">
        <f>IF(I127="", "", MAX(0, I127-TIME(9,0,0)))</f>
        <v/>
      </c>
      <c r="K127">
        <f>IF(I127="", "", I127 + IF(H127="", 0, H127))</f>
        <v/>
      </c>
    </row>
    <row r="128">
      <c r="B128">
        <f>IF(A128="", "", IFERROR(VLOOKUP(A128, "Employee Master"!$A:$B, 2, FALSE), ""))</f>
        <v/>
      </c>
      <c r="D128">
        <f>IF(C128="", "", TEXT(C128, "ddd"))</f>
        <v/>
      </c>
      <c r="I128">
        <f>IF(OR(E128="Absent", E128="Leave", E128=""), "", IF(AND(F128&gt;0, G128&gt;0), G128-F128, ""))</f>
        <v/>
      </c>
      <c r="J128">
        <f>IF(I128="", "", MAX(0, I128-TIME(9,0,0)))</f>
        <v/>
      </c>
      <c r="K128">
        <f>IF(I128="", "", I128 + IF(H128="", 0, H128))</f>
        <v/>
      </c>
    </row>
    <row r="129">
      <c r="B129">
        <f>IF(A129="", "", IFERROR(VLOOKUP(A129, "Employee Master"!$A:$B, 2, FALSE), ""))</f>
        <v/>
      </c>
      <c r="D129">
        <f>IF(C129="", "", TEXT(C129, "ddd"))</f>
        <v/>
      </c>
      <c r="I129">
        <f>IF(OR(E129="Absent", E129="Leave", E129=""), "", IF(AND(F129&gt;0, G129&gt;0), G129-F129, ""))</f>
        <v/>
      </c>
      <c r="J129">
        <f>IF(I129="", "", MAX(0, I129-TIME(9,0,0)))</f>
        <v/>
      </c>
      <c r="K129">
        <f>IF(I129="", "", I129 + IF(H129="", 0, H129))</f>
        <v/>
      </c>
    </row>
    <row r="130">
      <c r="B130">
        <f>IF(A130="", "", IFERROR(VLOOKUP(A130, "Employee Master"!$A:$B, 2, FALSE), ""))</f>
        <v/>
      </c>
      <c r="D130">
        <f>IF(C130="", "", TEXT(C130, "ddd"))</f>
        <v/>
      </c>
      <c r="I130">
        <f>IF(OR(E130="Absent", E130="Leave", E130=""), "", IF(AND(F130&gt;0, G130&gt;0), G130-F130, ""))</f>
        <v/>
      </c>
      <c r="J130">
        <f>IF(I130="", "", MAX(0, I130-TIME(9,0,0)))</f>
        <v/>
      </c>
      <c r="K130">
        <f>IF(I130="", "", I130 + IF(H130="", 0, H130))</f>
        <v/>
      </c>
    </row>
    <row r="131">
      <c r="B131">
        <f>IF(A131="", "", IFERROR(VLOOKUP(A131, "Employee Master"!$A:$B, 2, FALSE), ""))</f>
        <v/>
      </c>
      <c r="D131">
        <f>IF(C131="", "", TEXT(C131, "ddd"))</f>
        <v/>
      </c>
      <c r="I131">
        <f>IF(OR(E131="Absent", E131="Leave", E131=""), "", IF(AND(F131&gt;0, G131&gt;0), G131-F131, ""))</f>
        <v/>
      </c>
      <c r="J131">
        <f>IF(I131="", "", MAX(0, I131-TIME(9,0,0)))</f>
        <v/>
      </c>
      <c r="K131">
        <f>IF(I131="", "", I131 + IF(H131="", 0, H131))</f>
        <v/>
      </c>
    </row>
    <row r="132">
      <c r="B132">
        <f>IF(A132="", "", IFERROR(VLOOKUP(A132, "Employee Master"!$A:$B, 2, FALSE), ""))</f>
        <v/>
      </c>
      <c r="D132">
        <f>IF(C132="", "", TEXT(C132, "ddd"))</f>
        <v/>
      </c>
      <c r="I132">
        <f>IF(OR(E132="Absent", E132="Leave", E132=""), "", IF(AND(F132&gt;0, G132&gt;0), G132-F132, ""))</f>
        <v/>
      </c>
      <c r="J132">
        <f>IF(I132="", "", MAX(0, I132-TIME(9,0,0)))</f>
        <v/>
      </c>
      <c r="K132">
        <f>IF(I132="", "", I132 + IF(H132="", 0, H132))</f>
        <v/>
      </c>
    </row>
    <row r="133">
      <c r="B133">
        <f>IF(A133="", "", IFERROR(VLOOKUP(A133, "Employee Master"!$A:$B, 2, FALSE), ""))</f>
        <v/>
      </c>
      <c r="D133">
        <f>IF(C133="", "", TEXT(C133, "ddd"))</f>
        <v/>
      </c>
      <c r="I133">
        <f>IF(OR(E133="Absent", E133="Leave", E133=""), "", IF(AND(F133&gt;0, G133&gt;0), G133-F133, ""))</f>
        <v/>
      </c>
      <c r="J133">
        <f>IF(I133="", "", MAX(0, I133-TIME(9,0,0)))</f>
        <v/>
      </c>
      <c r="K133">
        <f>IF(I133="", "", I133 + IF(H133="", 0, H133))</f>
        <v/>
      </c>
    </row>
    <row r="134">
      <c r="B134">
        <f>IF(A134="", "", IFERROR(VLOOKUP(A134, "Employee Master"!$A:$B, 2, FALSE), ""))</f>
        <v/>
      </c>
      <c r="D134">
        <f>IF(C134="", "", TEXT(C134, "ddd"))</f>
        <v/>
      </c>
      <c r="I134">
        <f>IF(OR(E134="Absent", E134="Leave", E134=""), "", IF(AND(F134&gt;0, G134&gt;0), G134-F134, ""))</f>
        <v/>
      </c>
      <c r="J134">
        <f>IF(I134="", "", MAX(0, I134-TIME(9,0,0)))</f>
        <v/>
      </c>
      <c r="K134">
        <f>IF(I134="", "", I134 + IF(H134="", 0, H134))</f>
        <v/>
      </c>
    </row>
    <row r="135">
      <c r="B135">
        <f>IF(A135="", "", IFERROR(VLOOKUP(A135, "Employee Master"!$A:$B, 2, FALSE), ""))</f>
        <v/>
      </c>
      <c r="D135">
        <f>IF(C135="", "", TEXT(C135, "ddd"))</f>
        <v/>
      </c>
      <c r="I135">
        <f>IF(OR(E135="Absent", E135="Leave", E135=""), "", IF(AND(F135&gt;0, G135&gt;0), G135-F135, ""))</f>
        <v/>
      </c>
      <c r="J135">
        <f>IF(I135="", "", MAX(0, I135-TIME(9,0,0)))</f>
        <v/>
      </c>
      <c r="K135">
        <f>IF(I135="", "", I135 + IF(H135="", 0, H135))</f>
        <v/>
      </c>
    </row>
    <row r="136">
      <c r="B136">
        <f>IF(A136="", "", IFERROR(VLOOKUP(A136, "Employee Master"!$A:$B, 2, FALSE), ""))</f>
        <v/>
      </c>
      <c r="D136">
        <f>IF(C136="", "", TEXT(C136, "ddd"))</f>
        <v/>
      </c>
      <c r="I136">
        <f>IF(OR(E136="Absent", E136="Leave", E136=""), "", IF(AND(F136&gt;0, G136&gt;0), G136-F136, ""))</f>
        <v/>
      </c>
      <c r="J136">
        <f>IF(I136="", "", MAX(0, I136-TIME(9,0,0)))</f>
        <v/>
      </c>
      <c r="K136">
        <f>IF(I136="", "", I136 + IF(H136="", 0, H136))</f>
        <v/>
      </c>
    </row>
    <row r="137">
      <c r="B137">
        <f>IF(A137="", "", IFERROR(VLOOKUP(A137, "Employee Master"!$A:$B, 2, FALSE), ""))</f>
        <v/>
      </c>
      <c r="D137">
        <f>IF(C137="", "", TEXT(C137, "ddd"))</f>
        <v/>
      </c>
      <c r="I137">
        <f>IF(OR(E137="Absent", E137="Leave", E137=""), "", IF(AND(F137&gt;0, G137&gt;0), G137-F137, ""))</f>
        <v/>
      </c>
      <c r="J137">
        <f>IF(I137="", "", MAX(0, I137-TIME(9,0,0)))</f>
        <v/>
      </c>
      <c r="K137">
        <f>IF(I137="", "", I137 + IF(H137="", 0, H137))</f>
        <v/>
      </c>
    </row>
    <row r="138">
      <c r="B138">
        <f>IF(A138="", "", IFERROR(VLOOKUP(A138, "Employee Master"!$A:$B, 2, FALSE), ""))</f>
        <v/>
      </c>
      <c r="D138">
        <f>IF(C138="", "", TEXT(C138, "ddd"))</f>
        <v/>
      </c>
      <c r="I138">
        <f>IF(OR(E138="Absent", E138="Leave", E138=""), "", IF(AND(F138&gt;0, G138&gt;0), G138-F138, ""))</f>
        <v/>
      </c>
      <c r="J138">
        <f>IF(I138="", "", MAX(0, I138-TIME(9,0,0)))</f>
        <v/>
      </c>
      <c r="K138">
        <f>IF(I138="", "", I138 + IF(H138="", 0, H138))</f>
        <v/>
      </c>
    </row>
    <row r="139">
      <c r="B139">
        <f>IF(A139="", "", IFERROR(VLOOKUP(A139, "Employee Master"!$A:$B, 2, FALSE), ""))</f>
        <v/>
      </c>
      <c r="D139">
        <f>IF(C139="", "", TEXT(C139, "ddd"))</f>
        <v/>
      </c>
      <c r="I139">
        <f>IF(OR(E139="Absent", E139="Leave", E139=""), "", IF(AND(F139&gt;0, G139&gt;0), G139-F139, ""))</f>
        <v/>
      </c>
      <c r="J139">
        <f>IF(I139="", "", MAX(0, I139-TIME(9,0,0)))</f>
        <v/>
      </c>
      <c r="K139">
        <f>IF(I139="", "", I139 + IF(H139="", 0, H139))</f>
        <v/>
      </c>
    </row>
    <row r="140">
      <c r="B140">
        <f>IF(A140="", "", IFERROR(VLOOKUP(A140, "Employee Master"!$A:$B, 2, FALSE), ""))</f>
        <v/>
      </c>
      <c r="D140">
        <f>IF(C140="", "", TEXT(C140, "ddd"))</f>
        <v/>
      </c>
      <c r="I140">
        <f>IF(OR(E140="Absent", E140="Leave", E140=""), "", IF(AND(F140&gt;0, G140&gt;0), G140-F140, ""))</f>
        <v/>
      </c>
      <c r="J140">
        <f>IF(I140="", "", MAX(0, I140-TIME(9,0,0)))</f>
        <v/>
      </c>
      <c r="K140">
        <f>IF(I140="", "", I140 + IF(H140="", 0, H140))</f>
        <v/>
      </c>
    </row>
    <row r="141">
      <c r="B141">
        <f>IF(A141="", "", IFERROR(VLOOKUP(A141, "Employee Master"!$A:$B, 2, FALSE), ""))</f>
        <v/>
      </c>
      <c r="D141">
        <f>IF(C141="", "", TEXT(C141, "ddd"))</f>
        <v/>
      </c>
      <c r="I141">
        <f>IF(OR(E141="Absent", E141="Leave", E141=""), "", IF(AND(F141&gt;0, G141&gt;0), G141-F141, ""))</f>
        <v/>
      </c>
      <c r="J141">
        <f>IF(I141="", "", MAX(0, I141-TIME(9,0,0)))</f>
        <v/>
      </c>
      <c r="K141">
        <f>IF(I141="", "", I141 + IF(H141="", 0, H141))</f>
        <v/>
      </c>
    </row>
    <row r="142">
      <c r="B142">
        <f>IF(A142="", "", IFERROR(VLOOKUP(A142, "Employee Master"!$A:$B, 2, FALSE), ""))</f>
        <v/>
      </c>
      <c r="D142">
        <f>IF(C142="", "", TEXT(C142, "ddd"))</f>
        <v/>
      </c>
      <c r="I142">
        <f>IF(OR(E142="Absent", E142="Leave", E142=""), "", IF(AND(F142&gt;0, G142&gt;0), G142-F142, ""))</f>
        <v/>
      </c>
      <c r="J142">
        <f>IF(I142="", "", MAX(0, I142-TIME(9,0,0)))</f>
        <v/>
      </c>
      <c r="K142">
        <f>IF(I142="", "", I142 + IF(H142="", 0, H142))</f>
        <v/>
      </c>
    </row>
    <row r="143">
      <c r="B143">
        <f>IF(A143="", "", IFERROR(VLOOKUP(A143, "Employee Master"!$A:$B, 2, FALSE), ""))</f>
        <v/>
      </c>
      <c r="D143">
        <f>IF(C143="", "", TEXT(C143, "ddd"))</f>
        <v/>
      </c>
      <c r="I143">
        <f>IF(OR(E143="Absent", E143="Leave", E143=""), "", IF(AND(F143&gt;0, G143&gt;0), G143-F143, ""))</f>
        <v/>
      </c>
      <c r="J143">
        <f>IF(I143="", "", MAX(0, I143-TIME(9,0,0)))</f>
        <v/>
      </c>
      <c r="K143">
        <f>IF(I143="", "", I143 + IF(H143="", 0, H143))</f>
        <v/>
      </c>
    </row>
    <row r="144">
      <c r="B144">
        <f>IF(A144="", "", IFERROR(VLOOKUP(A144, "Employee Master"!$A:$B, 2, FALSE), ""))</f>
        <v/>
      </c>
      <c r="D144">
        <f>IF(C144="", "", TEXT(C144, "ddd"))</f>
        <v/>
      </c>
      <c r="I144">
        <f>IF(OR(E144="Absent", E144="Leave", E144=""), "", IF(AND(F144&gt;0, G144&gt;0), G144-F144, ""))</f>
        <v/>
      </c>
      <c r="J144">
        <f>IF(I144="", "", MAX(0, I144-TIME(9,0,0)))</f>
        <v/>
      </c>
      <c r="K144">
        <f>IF(I144="", "", I144 + IF(H144="", 0, H144))</f>
        <v/>
      </c>
    </row>
    <row r="145">
      <c r="B145">
        <f>IF(A145="", "", IFERROR(VLOOKUP(A145, "Employee Master"!$A:$B, 2, FALSE), ""))</f>
        <v/>
      </c>
      <c r="D145">
        <f>IF(C145="", "", TEXT(C145, "ddd"))</f>
        <v/>
      </c>
      <c r="I145">
        <f>IF(OR(E145="Absent", E145="Leave", E145=""), "", IF(AND(F145&gt;0, G145&gt;0), G145-F145, ""))</f>
        <v/>
      </c>
      <c r="J145">
        <f>IF(I145="", "", MAX(0, I145-TIME(9,0,0)))</f>
        <v/>
      </c>
      <c r="K145">
        <f>IF(I145="", "", I145 + IF(H145="", 0, H145))</f>
        <v/>
      </c>
    </row>
    <row r="146">
      <c r="B146">
        <f>IF(A146="", "", IFERROR(VLOOKUP(A146, "Employee Master"!$A:$B, 2, FALSE), ""))</f>
        <v/>
      </c>
      <c r="D146">
        <f>IF(C146="", "", TEXT(C146, "ddd"))</f>
        <v/>
      </c>
      <c r="I146">
        <f>IF(OR(E146="Absent", E146="Leave", E146=""), "", IF(AND(F146&gt;0, G146&gt;0), G146-F146, ""))</f>
        <v/>
      </c>
      <c r="J146">
        <f>IF(I146="", "", MAX(0, I146-TIME(9,0,0)))</f>
        <v/>
      </c>
      <c r="K146">
        <f>IF(I146="", "", I146 + IF(H146="", 0, H146))</f>
        <v/>
      </c>
    </row>
    <row r="147">
      <c r="B147">
        <f>IF(A147="", "", IFERROR(VLOOKUP(A147, "Employee Master"!$A:$B, 2, FALSE), ""))</f>
        <v/>
      </c>
      <c r="D147">
        <f>IF(C147="", "", TEXT(C147, "ddd"))</f>
        <v/>
      </c>
      <c r="I147">
        <f>IF(OR(E147="Absent", E147="Leave", E147=""), "", IF(AND(F147&gt;0, G147&gt;0), G147-F147, ""))</f>
        <v/>
      </c>
      <c r="J147">
        <f>IF(I147="", "", MAX(0, I147-TIME(9,0,0)))</f>
        <v/>
      </c>
      <c r="K147">
        <f>IF(I147="", "", I147 + IF(H147="", 0, H147))</f>
        <v/>
      </c>
    </row>
    <row r="148">
      <c r="B148">
        <f>IF(A148="", "", IFERROR(VLOOKUP(A148, "Employee Master"!$A:$B, 2, FALSE), ""))</f>
        <v/>
      </c>
      <c r="D148">
        <f>IF(C148="", "", TEXT(C148, "ddd"))</f>
        <v/>
      </c>
      <c r="I148">
        <f>IF(OR(E148="Absent", E148="Leave", E148=""), "", IF(AND(F148&gt;0, G148&gt;0), G148-F148, ""))</f>
        <v/>
      </c>
      <c r="J148">
        <f>IF(I148="", "", MAX(0, I148-TIME(9,0,0)))</f>
        <v/>
      </c>
      <c r="K148">
        <f>IF(I148="", "", I148 + IF(H148="", 0, H148))</f>
        <v/>
      </c>
    </row>
    <row r="149">
      <c r="B149">
        <f>IF(A149="", "", IFERROR(VLOOKUP(A149, "Employee Master"!$A:$B, 2, FALSE), ""))</f>
        <v/>
      </c>
      <c r="D149">
        <f>IF(C149="", "", TEXT(C149, "ddd"))</f>
        <v/>
      </c>
      <c r="I149">
        <f>IF(OR(E149="Absent", E149="Leave", E149=""), "", IF(AND(F149&gt;0, G149&gt;0), G149-F149, ""))</f>
        <v/>
      </c>
      <c r="J149">
        <f>IF(I149="", "", MAX(0, I149-TIME(9,0,0)))</f>
        <v/>
      </c>
      <c r="K149">
        <f>IF(I149="", "", I149 + IF(H149="", 0, H149))</f>
        <v/>
      </c>
    </row>
    <row r="150">
      <c r="B150">
        <f>IF(A150="", "", IFERROR(VLOOKUP(A150, "Employee Master"!$A:$B, 2, FALSE), ""))</f>
        <v/>
      </c>
      <c r="D150">
        <f>IF(C150="", "", TEXT(C150, "ddd"))</f>
        <v/>
      </c>
      <c r="I150">
        <f>IF(OR(E150="Absent", E150="Leave", E150=""), "", IF(AND(F150&gt;0, G150&gt;0), G150-F150, ""))</f>
        <v/>
      </c>
      <c r="J150">
        <f>IF(I150="", "", MAX(0, I150-TIME(9,0,0)))</f>
        <v/>
      </c>
      <c r="K150">
        <f>IF(I150="", "", I150 + IF(H150="", 0, H150))</f>
        <v/>
      </c>
    </row>
    <row r="151">
      <c r="B151">
        <f>IF(A151="", "", IFERROR(VLOOKUP(A151, "Employee Master"!$A:$B, 2, FALSE), ""))</f>
        <v/>
      </c>
      <c r="D151">
        <f>IF(C151="", "", TEXT(C151, "ddd"))</f>
        <v/>
      </c>
      <c r="I151">
        <f>IF(OR(E151="Absent", E151="Leave", E151=""), "", IF(AND(F151&gt;0, G151&gt;0), G151-F151, ""))</f>
        <v/>
      </c>
      <c r="J151">
        <f>IF(I151="", "", MAX(0, I151-TIME(9,0,0)))</f>
        <v/>
      </c>
      <c r="K151">
        <f>IF(I151="", "", I151 + IF(H151="", 0, H151))</f>
        <v/>
      </c>
    </row>
    <row r="152">
      <c r="B152">
        <f>IF(A152="", "", IFERROR(VLOOKUP(A152, "Employee Master"!$A:$B, 2, FALSE), ""))</f>
        <v/>
      </c>
      <c r="D152">
        <f>IF(C152="", "", TEXT(C152, "ddd"))</f>
        <v/>
      </c>
      <c r="I152">
        <f>IF(OR(E152="Absent", E152="Leave", E152=""), "", IF(AND(F152&gt;0, G152&gt;0), G152-F152, ""))</f>
        <v/>
      </c>
      <c r="J152">
        <f>IF(I152="", "", MAX(0, I152-TIME(9,0,0)))</f>
        <v/>
      </c>
      <c r="K152">
        <f>IF(I152="", "", I152 + IF(H152="", 0, H152))</f>
        <v/>
      </c>
    </row>
    <row r="153">
      <c r="B153">
        <f>IF(A153="", "", IFERROR(VLOOKUP(A153, "Employee Master"!$A:$B, 2, FALSE), ""))</f>
        <v/>
      </c>
      <c r="D153">
        <f>IF(C153="", "", TEXT(C153, "ddd"))</f>
        <v/>
      </c>
      <c r="I153">
        <f>IF(OR(E153="Absent", E153="Leave", E153=""), "", IF(AND(F153&gt;0, G153&gt;0), G153-F153, ""))</f>
        <v/>
      </c>
      <c r="J153">
        <f>IF(I153="", "", MAX(0, I153-TIME(9,0,0)))</f>
        <v/>
      </c>
      <c r="K153">
        <f>IF(I153="", "", I153 + IF(H153="", 0, H153))</f>
        <v/>
      </c>
    </row>
    <row r="154">
      <c r="B154">
        <f>IF(A154="", "", IFERROR(VLOOKUP(A154, "Employee Master"!$A:$B, 2, FALSE), ""))</f>
        <v/>
      </c>
      <c r="D154">
        <f>IF(C154="", "", TEXT(C154, "ddd"))</f>
        <v/>
      </c>
      <c r="I154">
        <f>IF(OR(E154="Absent", E154="Leave", E154=""), "", IF(AND(F154&gt;0, G154&gt;0), G154-F154, ""))</f>
        <v/>
      </c>
      <c r="J154">
        <f>IF(I154="", "", MAX(0, I154-TIME(9,0,0)))</f>
        <v/>
      </c>
      <c r="K154">
        <f>IF(I154="", "", I154 + IF(H154="", 0, H154))</f>
        <v/>
      </c>
    </row>
    <row r="155">
      <c r="B155">
        <f>IF(A155="", "", IFERROR(VLOOKUP(A155, "Employee Master"!$A:$B, 2, FALSE), ""))</f>
        <v/>
      </c>
      <c r="D155">
        <f>IF(C155="", "", TEXT(C155, "ddd"))</f>
        <v/>
      </c>
      <c r="I155">
        <f>IF(OR(E155="Absent", E155="Leave", E155=""), "", IF(AND(F155&gt;0, G155&gt;0), G155-F155, ""))</f>
        <v/>
      </c>
      <c r="J155">
        <f>IF(I155="", "", MAX(0, I155-TIME(9,0,0)))</f>
        <v/>
      </c>
      <c r="K155">
        <f>IF(I155="", "", I155 + IF(H155="", 0, H155))</f>
        <v/>
      </c>
    </row>
    <row r="156">
      <c r="B156">
        <f>IF(A156="", "", IFERROR(VLOOKUP(A156, "Employee Master"!$A:$B, 2, FALSE), ""))</f>
        <v/>
      </c>
      <c r="D156">
        <f>IF(C156="", "", TEXT(C156, "ddd"))</f>
        <v/>
      </c>
      <c r="I156">
        <f>IF(OR(E156="Absent", E156="Leave", E156=""), "", IF(AND(F156&gt;0, G156&gt;0), G156-F156, ""))</f>
        <v/>
      </c>
      <c r="J156">
        <f>IF(I156="", "", MAX(0, I156-TIME(9,0,0)))</f>
        <v/>
      </c>
      <c r="K156">
        <f>IF(I156="", "", I156 + IF(H156="", 0, H156))</f>
        <v/>
      </c>
    </row>
    <row r="157">
      <c r="B157">
        <f>IF(A157="", "", IFERROR(VLOOKUP(A157, "Employee Master"!$A:$B, 2, FALSE), ""))</f>
        <v/>
      </c>
      <c r="D157">
        <f>IF(C157="", "", TEXT(C157, "ddd"))</f>
        <v/>
      </c>
      <c r="I157">
        <f>IF(OR(E157="Absent", E157="Leave", E157=""), "", IF(AND(F157&gt;0, G157&gt;0), G157-F157, ""))</f>
        <v/>
      </c>
      <c r="J157">
        <f>IF(I157="", "", MAX(0, I157-TIME(9,0,0)))</f>
        <v/>
      </c>
      <c r="K157">
        <f>IF(I157="", "", I157 + IF(H157="", 0, H157))</f>
        <v/>
      </c>
    </row>
    <row r="158">
      <c r="B158">
        <f>IF(A158="", "", IFERROR(VLOOKUP(A158, "Employee Master"!$A:$B, 2, FALSE), ""))</f>
        <v/>
      </c>
      <c r="D158">
        <f>IF(C158="", "", TEXT(C158, "ddd"))</f>
        <v/>
      </c>
      <c r="I158">
        <f>IF(OR(E158="Absent", E158="Leave", E158=""), "", IF(AND(F158&gt;0, G158&gt;0), G158-F158, ""))</f>
        <v/>
      </c>
      <c r="J158">
        <f>IF(I158="", "", MAX(0, I158-TIME(9,0,0)))</f>
        <v/>
      </c>
      <c r="K158">
        <f>IF(I158="", "", I158 + IF(H158="", 0, H158))</f>
        <v/>
      </c>
    </row>
    <row r="159">
      <c r="B159">
        <f>IF(A159="", "", IFERROR(VLOOKUP(A159, "Employee Master"!$A:$B, 2, FALSE), ""))</f>
        <v/>
      </c>
      <c r="D159">
        <f>IF(C159="", "", TEXT(C159, "ddd"))</f>
        <v/>
      </c>
      <c r="I159">
        <f>IF(OR(E159="Absent", E159="Leave", E159=""), "", IF(AND(F159&gt;0, G159&gt;0), G159-F159, ""))</f>
        <v/>
      </c>
      <c r="J159">
        <f>IF(I159="", "", MAX(0, I159-TIME(9,0,0)))</f>
        <v/>
      </c>
      <c r="K159">
        <f>IF(I159="", "", I159 + IF(H159="", 0, H159))</f>
        <v/>
      </c>
    </row>
    <row r="160">
      <c r="B160">
        <f>IF(A160="", "", IFERROR(VLOOKUP(A160, "Employee Master"!$A:$B, 2, FALSE), ""))</f>
        <v/>
      </c>
      <c r="D160">
        <f>IF(C160="", "", TEXT(C160, "ddd"))</f>
        <v/>
      </c>
      <c r="I160">
        <f>IF(OR(E160="Absent", E160="Leave", E160=""), "", IF(AND(F160&gt;0, G160&gt;0), G160-F160, ""))</f>
        <v/>
      </c>
      <c r="J160">
        <f>IF(I160="", "", MAX(0, I160-TIME(9,0,0)))</f>
        <v/>
      </c>
      <c r="K160">
        <f>IF(I160="", "", I160 + IF(H160="", 0, H160))</f>
        <v/>
      </c>
    </row>
    <row r="161">
      <c r="B161">
        <f>IF(A161="", "", IFERROR(VLOOKUP(A161, "Employee Master"!$A:$B, 2, FALSE), ""))</f>
        <v/>
      </c>
      <c r="D161">
        <f>IF(C161="", "", TEXT(C161, "ddd"))</f>
        <v/>
      </c>
      <c r="I161">
        <f>IF(OR(E161="Absent", E161="Leave", E161=""), "", IF(AND(F161&gt;0, G161&gt;0), G161-F161, ""))</f>
        <v/>
      </c>
      <c r="J161">
        <f>IF(I161="", "", MAX(0, I161-TIME(9,0,0)))</f>
        <v/>
      </c>
      <c r="K161">
        <f>IF(I161="", "", I161 + IF(H161="", 0, H161))</f>
        <v/>
      </c>
    </row>
    <row r="162">
      <c r="B162">
        <f>IF(A162="", "", IFERROR(VLOOKUP(A162, "Employee Master"!$A:$B, 2, FALSE), ""))</f>
        <v/>
      </c>
      <c r="D162">
        <f>IF(C162="", "", TEXT(C162, "ddd"))</f>
        <v/>
      </c>
      <c r="I162">
        <f>IF(OR(E162="Absent", E162="Leave", E162=""), "", IF(AND(F162&gt;0, G162&gt;0), G162-F162, ""))</f>
        <v/>
      </c>
      <c r="J162">
        <f>IF(I162="", "", MAX(0, I162-TIME(9,0,0)))</f>
        <v/>
      </c>
      <c r="K162">
        <f>IF(I162="", "", I162 + IF(H162="", 0, H162))</f>
        <v/>
      </c>
    </row>
    <row r="163">
      <c r="B163">
        <f>IF(A163="", "", IFERROR(VLOOKUP(A163, "Employee Master"!$A:$B, 2, FALSE), ""))</f>
        <v/>
      </c>
      <c r="D163">
        <f>IF(C163="", "", TEXT(C163, "ddd"))</f>
        <v/>
      </c>
      <c r="I163">
        <f>IF(OR(E163="Absent", E163="Leave", E163=""), "", IF(AND(F163&gt;0, G163&gt;0), G163-F163, ""))</f>
        <v/>
      </c>
      <c r="J163">
        <f>IF(I163="", "", MAX(0, I163-TIME(9,0,0)))</f>
        <v/>
      </c>
      <c r="K163">
        <f>IF(I163="", "", I163 + IF(H163="", 0, H163))</f>
        <v/>
      </c>
    </row>
    <row r="164">
      <c r="B164">
        <f>IF(A164="", "", IFERROR(VLOOKUP(A164, "Employee Master"!$A:$B, 2, FALSE), ""))</f>
        <v/>
      </c>
      <c r="D164">
        <f>IF(C164="", "", TEXT(C164, "ddd"))</f>
        <v/>
      </c>
      <c r="I164">
        <f>IF(OR(E164="Absent", E164="Leave", E164=""), "", IF(AND(F164&gt;0, G164&gt;0), G164-F164, ""))</f>
        <v/>
      </c>
      <c r="J164">
        <f>IF(I164="", "", MAX(0, I164-TIME(9,0,0)))</f>
        <v/>
      </c>
      <c r="K164">
        <f>IF(I164="", "", I164 + IF(H164="", 0, H164))</f>
        <v/>
      </c>
    </row>
    <row r="165">
      <c r="B165">
        <f>IF(A165="", "", IFERROR(VLOOKUP(A165, "Employee Master"!$A:$B, 2, FALSE), ""))</f>
        <v/>
      </c>
      <c r="D165">
        <f>IF(C165="", "", TEXT(C165, "ddd"))</f>
        <v/>
      </c>
      <c r="I165">
        <f>IF(OR(E165="Absent", E165="Leave", E165=""), "", IF(AND(F165&gt;0, G165&gt;0), G165-F165, ""))</f>
        <v/>
      </c>
      <c r="J165">
        <f>IF(I165="", "", MAX(0, I165-TIME(9,0,0)))</f>
        <v/>
      </c>
      <c r="K165">
        <f>IF(I165="", "", I165 + IF(H165="", 0, H165))</f>
        <v/>
      </c>
    </row>
    <row r="166">
      <c r="B166">
        <f>IF(A166="", "", IFERROR(VLOOKUP(A166, "Employee Master"!$A:$B, 2, FALSE), ""))</f>
        <v/>
      </c>
      <c r="D166">
        <f>IF(C166="", "", TEXT(C166, "ddd"))</f>
        <v/>
      </c>
      <c r="I166">
        <f>IF(OR(E166="Absent", E166="Leave", E166=""), "", IF(AND(F166&gt;0, G166&gt;0), G166-F166, ""))</f>
        <v/>
      </c>
      <c r="J166">
        <f>IF(I166="", "", MAX(0, I166-TIME(9,0,0)))</f>
        <v/>
      </c>
      <c r="K166">
        <f>IF(I166="", "", I166 + IF(H166="", 0, H166))</f>
        <v/>
      </c>
    </row>
    <row r="167">
      <c r="B167">
        <f>IF(A167="", "", IFERROR(VLOOKUP(A167, "Employee Master"!$A:$B, 2, FALSE), ""))</f>
        <v/>
      </c>
      <c r="D167">
        <f>IF(C167="", "", TEXT(C167, "ddd"))</f>
        <v/>
      </c>
      <c r="I167">
        <f>IF(OR(E167="Absent", E167="Leave", E167=""), "", IF(AND(F167&gt;0, G167&gt;0), G167-F167, ""))</f>
        <v/>
      </c>
      <c r="J167">
        <f>IF(I167="", "", MAX(0, I167-TIME(9,0,0)))</f>
        <v/>
      </c>
      <c r="K167">
        <f>IF(I167="", "", I167 + IF(H167="", 0, H167))</f>
        <v/>
      </c>
    </row>
    <row r="168">
      <c r="B168">
        <f>IF(A168="", "", IFERROR(VLOOKUP(A168, "Employee Master"!$A:$B, 2, FALSE), ""))</f>
        <v/>
      </c>
      <c r="D168">
        <f>IF(C168="", "", TEXT(C168, "ddd"))</f>
        <v/>
      </c>
      <c r="I168">
        <f>IF(OR(E168="Absent", E168="Leave", E168=""), "", IF(AND(F168&gt;0, G168&gt;0), G168-F168, ""))</f>
        <v/>
      </c>
      <c r="J168">
        <f>IF(I168="", "", MAX(0, I168-TIME(9,0,0)))</f>
        <v/>
      </c>
      <c r="K168">
        <f>IF(I168="", "", I168 + IF(H168="", 0, H168))</f>
        <v/>
      </c>
    </row>
    <row r="169">
      <c r="B169">
        <f>IF(A169="", "", IFERROR(VLOOKUP(A169, "Employee Master"!$A:$B, 2, FALSE), ""))</f>
        <v/>
      </c>
      <c r="D169">
        <f>IF(C169="", "", TEXT(C169, "ddd"))</f>
        <v/>
      </c>
      <c r="I169">
        <f>IF(OR(E169="Absent", E169="Leave", E169=""), "", IF(AND(F169&gt;0, G169&gt;0), G169-F169, ""))</f>
        <v/>
      </c>
      <c r="J169">
        <f>IF(I169="", "", MAX(0, I169-TIME(9,0,0)))</f>
        <v/>
      </c>
      <c r="K169">
        <f>IF(I169="", "", I169 + IF(H169="", 0, H169))</f>
        <v/>
      </c>
    </row>
    <row r="170">
      <c r="B170">
        <f>IF(A170="", "", IFERROR(VLOOKUP(A170, "Employee Master"!$A:$B, 2, FALSE), ""))</f>
        <v/>
      </c>
      <c r="D170">
        <f>IF(C170="", "", TEXT(C170, "ddd"))</f>
        <v/>
      </c>
      <c r="I170">
        <f>IF(OR(E170="Absent", E170="Leave", E170=""), "", IF(AND(F170&gt;0, G170&gt;0), G170-F170, ""))</f>
        <v/>
      </c>
      <c r="J170">
        <f>IF(I170="", "", MAX(0, I170-TIME(9,0,0)))</f>
        <v/>
      </c>
      <c r="K170">
        <f>IF(I170="", "", I170 + IF(H170="", 0, H170))</f>
        <v/>
      </c>
    </row>
    <row r="171">
      <c r="B171">
        <f>IF(A171="", "", IFERROR(VLOOKUP(A171, "Employee Master"!$A:$B, 2, FALSE), ""))</f>
        <v/>
      </c>
      <c r="D171">
        <f>IF(C171="", "", TEXT(C171, "ddd"))</f>
        <v/>
      </c>
      <c r="I171">
        <f>IF(OR(E171="Absent", E171="Leave", E171=""), "", IF(AND(F171&gt;0, G171&gt;0), G171-F171, ""))</f>
        <v/>
      </c>
      <c r="J171">
        <f>IF(I171="", "", MAX(0, I171-TIME(9,0,0)))</f>
        <v/>
      </c>
      <c r="K171">
        <f>IF(I171="", "", I171 + IF(H171="", 0, H171))</f>
        <v/>
      </c>
    </row>
    <row r="172">
      <c r="B172">
        <f>IF(A172="", "", IFERROR(VLOOKUP(A172, "Employee Master"!$A:$B, 2, FALSE), ""))</f>
        <v/>
      </c>
      <c r="D172">
        <f>IF(C172="", "", TEXT(C172, "ddd"))</f>
        <v/>
      </c>
      <c r="I172">
        <f>IF(OR(E172="Absent", E172="Leave", E172=""), "", IF(AND(F172&gt;0, G172&gt;0), G172-F172, ""))</f>
        <v/>
      </c>
      <c r="J172">
        <f>IF(I172="", "", MAX(0, I172-TIME(9,0,0)))</f>
        <v/>
      </c>
      <c r="K172">
        <f>IF(I172="", "", I172 + IF(H172="", 0, H172))</f>
        <v/>
      </c>
    </row>
    <row r="173">
      <c r="B173">
        <f>IF(A173="", "", IFERROR(VLOOKUP(A173, "Employee Master"!$A:$B, 2, FALSE), ""))</f>
        <v/>
      </c>
      <c r="D173">
        <f>IF(C173="", "", TEXT(C173, "ddd"))</f>
        <v/>
      </c>
      <c r="I173">
        <f>IF(OR(E173="Absent", E173="Leave", E173=""), "", IF(AND(F173&gt;0, G173&gt;0), G173-F173, ""))</f>
        <v/>
      </c>
      <c r="J173">
        <f>IF(I173="", "", MAX(0, I173-TIME(9,0,0)))</f>
        <v/>
      </c>
      <c r="K173">
        <f>IF(I173="", "", I173 + IF(H173="", 0, H173))</f>
        <v/>
      </c>
    </row>
    <row r="174">
      <c r="B174">
        <f>IF(A174="", "", IFERROR(VLOOKUP(A174, "Employee Master"!$A:$B, 2, FALSE), ""))</f>
        <v/>
      </c>
      <c r="D174">
        <f>IF(C174="", "", TEXT(C174, "ddd"))</f>
        <v/>
      </c>
      <c r="I174">
        <f>IF(OR(E174="Absent", E174="Leave", E174=""), "", IF(AND(F174&gt;0, G174&gt;0), G174-F174, ""))</f>
        <v/>
      </c>
      <c r="J174">
        <f>IF(I174="", "", MAX(0, I174-TIME(9,0,0)))</f>
        <v/>
      </c>
      <c r="K174">
        <f>IF(I174="", "", I174 + IF(H174="", 0, H174))</f>
        <v/>
      </c>
    </row>
    <row r="175">
      <c r="B175">
        <f>IF(A175="", "", IFERROR(VLOOKUP(A175, "Employee Master"!$A:$B, 2, FALSE), ""))</f>
        <v/>
      </c>
      <c r="D175">
        <f>IF(C175="", "", TEXT(C175, "ddd"))</f>
        <v/>
      </c>
      <c r="I175">
        <f>IF(OR(E175="Absent", E175="Leave", E175=""), "", IF(AND(F175&gt;0, G175&gt;0), G175-F175, ""))</f>
        <v/>
      </c>
      <c r="J175">
        <f>IF(I175="", "", MAX(0, I175-TIME(9,0,0)))</f>
        <v/>
      </c>
      <c r="K175">
        <f>IF(I175="", "", I175 + IF(H175="", 0, H175))</f>
        <v/>
      </c>
    </row>
    <row r="176">
      <c r="B176">
        <f>IF(A176="", "", IFERROR(VLOOKUP(A176, "Employee Master"!$A:$B, 2, FALSE), ""))</f>
        <v/>
      </c>
      <c r="D176">
        <f>IF(C176="", "", TEXT(C176, "ddd"))</f>
        <v/>
      </c>
      <c r="I176">
        <f>IF(OR(E176="Absent", E176="Leave", E176=""), "", IF(AND(F176&gt;0, G176&gt;0), G176-F176, ""))</f>
        <v/>
      </c>
      <c r="J176">
        <f>IF(I176="", "", MAX(0, I176-TIME(9,0,0)))</f>
        <v/>
      </c>
      <c r="K176">
        <f>IF(I176="", "", I176 + IF(H176="", 0, H176))</f>
        <v/>
      </c>
    </row>
    <row r="177">
      <c r="B177">
        <f>IF(A177="", "", IFERROR(VLOOKUP(A177, "Employee Master"!$A:$B, 2, FALSE), ""))</f>
        <v/>
      </c>
      <c r="D177">
        <f>IF(C177="", "", TEXT(C177, "ddd"))</f>
        <v/>
      </c>
      <c r="I177">
        <f>IF(OR(E177="Absent", E177="Leave", E177=""), "", IF(AND(F177&gt;0, G177&gt;0), G177-F177, ""))</f>
        <v/>
      </c>
      <c r="J177">
        <f>IF(I177="", "", MAX(0, I177-TIME(9,0,0)))</f>
        <v/>
      </c>
      <c r="K177">
        <f>IF(I177="", "", I177 + IF(H177="", 0, H177))</f>
        <v/>
      </c>
    </row>
    <row r="178">
      <c r="B178">
        <f>IF(A178="", "", IFERROR(VLOOKUP(A178, "Employee Master"!$A:$B, 2, FALSE), ""))</f>
        <v/>
      </c>
      <c r="D178">
        <f>IF(C178="", "", TEXT(C178, "ddd"))</f>
        <v/>
      </c>
      <c r="I178">
        <f>IF(OR(E178="Absent", E178="Leave", E178=""), "", IF(AND(F178&gt;0, G178&gt;0), G178-F178, ""))</f>
        <v/>
      </c>
      <c r="J178">
        <f>IF(I178="", "", MAX(0, I178-TIME(9,0,0)))</f>
        <v/>
      </c>
      <c r="K178">
        <f>IF(I178="", "", I178 + IF(H178="", 0, H178))</f>
        <v/>
      </c>
    </row>
    <row r="179">
      <c r="B179">
        <f>IF(A179="", "", IFERROR(VLOOKUP(A179, "Employee Master"!$A:$B, 2, FALSE), ""))</f>
        <v/>
      </c>
      <c r="D179">
        <f>IF(C179="", "", TEXT(C179, "ddd"))</f>
        <v/>
      </c>
      <c r="I179">
        <f>IF(OR(E179="Absent", E179="Leave", E179=""), "", IF(AND(F179&gt;0, G179&gt;0), G179-F179, ""))</f>
        <v/>
      </c>
      <c r="J179">
        <f>IF(I179="", "", MAX(0, I179-TIME(9,0,0)))</f>
        <v/>
      </c>
      <c r="K179">
        <f>IF(I179="", "", I179 + IF(H179="", 0, H179))</f>
        <v/>
      </c>
    </row>
    <row r="180">
      <c r="B180">
        <f>IF(A180="", "", IFERROR(VLOOKUP(A180, "Employee Master"!$A:$B, 2, FALSE), ""))</f>
        <v/>
      </c>
      <c r="D180">
        <f>IF(C180="", "", TEXT(C180, "ddd"))</f>
        <v/>
      </c>
      <c r="I180">
        <f>IF(OR(E180="Absent", E180="Leave", E180=""), "", IF(AND(F180&gt;0, G180&gt;0), G180-F180, ""))</f>
        <v/>
      </c>
      <c r="J180">
        <f>IF(I180="", "", MAX(0, I180-TIME(9,0,0)))</f>
        <v/>
      </c>
      <c r="K180">
        <f>IF(I180="", "", I180 + IF(H180="", 0, H180))</f>
        <v/>
      </c>
    </row>
    <row r="181">
      <c r="B181">
        <f>IF(A181="", "", IFERROR(VLOOKUP(A181, "Employee Master"!$A:$B, 2, FALSE), ""))</f>
        <v/>
      </c>
      <c r="D181">
        <f>IF(C181="", "", TEXT(C181, "ddd"))</f>
        <v/>
      </c>
      <c r="I181">
        <f>IF(OR(E181="Absent", E181="Leave", E181=""), "", IF(AND(F181&gt;0, G181&gt;0), G181-F181, ""))</f>
        <v/>
      </c>
      <c r="J181">
        <f>IF(I181="", "", MAX(0, I181-TIME(9,0,0)))</f>
        <v/>
      </c>
      <c r="K181">
        <f>IF(I181="", "", I181 + IF(H181="", 0, H181))</f>
        <v/>
      </c>
    </row>
    <row r="182">
      <c r="B182">
        <f>IF(A182="", "", IFERROR(VLOOKUP(A182, "Employee Master"!$A:$B, 2, FALSE), ""))</f>
        <v/>
      </c>
      <c r="D182">
        <f>IF(C182="", "", TEXT(C182, "ddd"))</f>
        <v/>
      </c>
      <c r="I182">
        <f>IF(OR(E182="Absent", E182="Leave", E182=""), "", IF(AND(F182&gt;0, G182&gt;0), G182-F182, ""))</f>
        <v/>
      </c>
      <c r="J182">
        <f>IF(I182="", "", MAX(0, I182-TIME(9,0,0)))</f>
        <v/>
      </c>
      <c r="K182">
        <f>IF(I182="", "", I182 + IF(H182="", 0, H182))</f>
        <v/>
      </c>
    </row>
    <row r="183">
      <c r="B183">
        <f>IF(A183="", "", IFERROR(VLOOKUP(A183, "Employee Master"!$A:$B, 2, FALSE), ""))</f>
        <v/>
      </c>
      <c r="D183">
        <f>IF(C183="", "", TEXT(C183, "ddd"))</f>
        <v/>
      </c>
      <c r="I183">
        <f>IF(OR(E183="Absent", E183="Leave", E183=""), "", IF(AND(F183&gt;0, G183&gt;0), G183-F183, ""))</f>
        <v/>
      </c>
      <c r="J183">
        <f>IF(I183="", "", MAX(0, I183-TIME(9,0,0)))</f>
        <v/>
      </c>
      <c r="K183">
        <f>IF(I183="", "", I183 + IF(H183="", 0, H183))</f>
        <v/>
      </c>
    </row>
    <row r="184">
      <c r="B184">
        <f>IF(A184="", "", IFERROR(VLOOKUP(A184, "Employee Master"!$A:$B, 2, FALSE), ""))</f>
        <v/>
      </c>
      <c r="D184">
        <f>IF(C184="", "", TEXT(C184, "ddd"))</f>
        <v/>
      </c>
      <c r="I184">
        <f>IF(OR(E184="Absent", E184="Leave", E184=""), "", IF(AND(F184&gt;0, G184&gt;0), G184-F184, ""))</f>
        <v/>
      </c>
      <c r="J184">
        <f>IF(I184="", "", MAX(0, I184-TIME(9,0,0)))</f>
        <v/>
      </c>
      <c r="K184">
        <f>IF(I184="", "", I184 + IF(H184="", 0, H184))</f>
        <v/>
      </c>
    </row>
    <row r="185">
      <c r="B185">
        <f>IF(A185="", "", IFERROR(VLOOKUP(A185, "Employee Master"!$A:$B, 2, FALSE), ""))</f>
        <v/>
      </c>
      <c r="D185">
        <f>IF(C185="", "", TEXT(C185, "ddd"))</f>
        <v/>
      </c>
      <c r="I185">
        <f>IF(OR(E185="Absent", E185="Leave", E185=""), "", IF(AND(F185&gt;0, G185&gt;0), G185-F185, ""))</f>
        <v/>
      </c>
      <c r="J185">
        <f>IF(I185="", "", MAX(0, I185-TIME(9,0,0)))</f>
        <v/>
      </c>
      <c r="K185">
        <f>IF(I185="", "", I185 + IF(H185="", 0, H185))</f>
        <v/>
      </c>
    </row>
    <row r="186">
      <c r="B186">
        <f>IF(A186="", "", IFERROR(VLOOKUP(A186, "Employee Master"!$A:$B, 2, FALSE), ""))</f>
        <v/>
      </c>
      <c r="D186">
        <f>IF(C186="", "", TEXT(C186, "ddd"))</f>
        <v/>
      </c>
      <c r="I186">
        <f>IF(OR(E186="Absent", E186="Leave", E186=""), "", IF(AND(F186&gt;0, G186&gt;0), G186-F186, ""))</f>
        <v/>
      </c>
      <c r="J186">
        <f>IF(I186="", "", MAX(0, I186-TIME(9,0,0)))</f>
        <v/>
      </c>
      <c r="K186">
        <f>IF(I186="", "", I186 + IF(H186="", 0, H186))</f>
        <v/>
      </c>
    </row>
    <row r="187">
      <c r="B187">
        <f>IF(A187="", "", IFERROR(VLOOKUP(A187, "Employee Master"!$A:$B, 2, FALSE), ""))</f>
        <v/>
      </c>
      <c r="D187">
        <f>IF(C187="", "", TEXT(C187, "ddd"))</f>
        <v/>
      </c>
      <c r="I187">
        <f>IF(OR(E187="Absent", E187="Leave", E187=""), "", IF(AND(F187&gt;0, G187&gt;0), G187-F187, ""))</f>
        <v/>
      </c>
      <c r="J187">
        <f>IF(I187="", "", MAX(0, I187-TIME(9,0,0)))</f>
        <v/>
      </c>
      <c r="K187">
        <f>IF(I187="", "", I187 + IF(H187="", 0, H187))</f>
        <v/>
      </c>
    </row>
    <row r="188">
      <c r="B188">
        <f>IF(A188="", "", IFERROR(VLOOKUP(A188, "Employee Master"!$A:$B, 2, FALSE), ""))</f>
        <v/>
      </c>
      <c r="D188">
        <f>IF(C188="", "", TEXT(C188, "ddd"))</f>
        <v/>
      </c>
      <c r="I188">
        <f>IF(OR(E188="Absent", E188="Leave", E188=""), "", IF(AND(F188&gt;0, G188&gt;0), G188-F188, ""))</f>
        <v/>
      </c>
      <c r="J188">
        <f>IF(I188="", "", MAX(0, I188-TIME(9,0,0)))</f>
        <v/>
      </c>
      <c r="K188">
        <f>IF(I188="", "", I188 + IF(H188="", 0, H188))</f>
        <v/>
      </c>
    </row>
    <row r="189">
      <c r="B189">
        <f>IF(A189="", "", IFERROR(VLOOKUP(A189, "Employee Master"!$A:$B, 2, FALSE), ""))</f>
        <v/>
      </c>
      <c r="D189">
        <f>IF(C189="", "", TEXT(C189, "ddd"))</f>
        <v/>
      </c>
      <c r="I189">
        <f>IF(OR(E189="Absent", E189="Leave", E189=""), "", IF(AND(F189&gt;0, G189&gt;0), G189-F189, ""))</f>
        <v/>
      </c>
      <c r="J189">
        <f>IF(I189="", "", MAX(0, I189-TIME(9,0,0)))</f>
        <v/>
      </c>
      <c r="K189">
        <f>IF(I189="", "", I189 + IF(H189="", 0, H189))</f>
        <v/>
      </c>
    </row>
    <row r="190">
      <c r="B190">
        <f>IF(A190="", "", IFERROR(VLOOKUP(A190, "Employee Master"!$A:$B, 2, FALSE), ""))</f>
        <v/>
      </c>
      <c r="D190">
        <f>IF(C190="", "", TEXT(C190, "ddd"))</f>
        <v/>
      </c>
      <c r="I190">
        <f>IF(OR(E190="Absent", E190="Leave", E190=""), "", IF(AND(F190&gt;0, G190&gt;0), G190-F190, ""))</f>
        <v/>
      </c>
      <c r="J190">
        <f>IF(I190="", "", MAX(0, I190-TIME(9,0,0)))</f>
        <v/>
      </c>
      <c r="K190">
        <f>IF(I190="", "", I190 + IF(H190="", 0, H190))</f>
        <v/>
      </c>
    </row>
    <row r="191">
      <c r="B191">
        <f>IF(A191="", "", IFERROR(VLOOKUP(A191, "Employee Master"!$A:$B, 2, FALSE), ""))</f>
        <v/>
      </c>
      <c r="D191">
        <f>IF(C191="", "", TEXT(C191, "ddd"))</f>
        <v/>
      </c>
      <c r="I191">
        <f>IF(OR(E191="Absent", E191="Leave", E191=""), "", IF(AND(F191&gt;0, G191&gt;0), G191-F191, ""))</f>
        <v/>
      </c>
      <c r="J191">
        <f>IF(I191="", "", MAX(0, I191-TIME(9,0,0)))</f>
        <v/>
      </c>
      <c r="K191">
        <f>IF(I191="", "", I191 + IF(H191="", 0, H191))</f>
        <v/>
      </c>
    </row>
    <row r="192">
      <c r="B192">
        <f>IF(A192="", "", IFERROR(VLOOKUP(A192, "Employee Master"!$A:$B, 2, FALSE), ""))</f>
        <v/>
      </c>
      <c r="D192">
        <f>IF(C192="", "", TEXT(C192, "ddd"))</f>
        <v/>
      </c>
      <c r="I192">
        <f>IF(OR(E192="Absent", E192="Leave", E192=""), "", IF(AND(F192&gt;0, G192&gt;0), G192-F192, ""))</f>
        <v/>
      </c>
      <c r="J192">
        <f>IF(I192="", "", MAX(0, I192-TIME(9,0,0)))</f>
        <v/>
      </c>
      <c r="K192">
        <f>IF(I192="", "", I192 + IF(H192="", 0, H192))</f>
        <v/>
      </c>
    </row>
    <row r="193">
      <c r="B193">
        <f>IF(A193="", "", IFERROR(VLOOKUP(A193, "Employee Master"!$A:$B, 2, FALSE), ""))</f>
        <v/>
      </c>
      <c r="D193">
        <f>IF(C193="", "", TEXT(C193, "ddd"))</f>
        <v/>
      </c>
      <c r="I193">
        <f>IF(OR(E193="Absent", E193="Leave", E193=""), "", IF(AND(F193&gt;0, G193&gt;0), G193-F193, ""))</f>
        <v/>
      </c>
      <c r="J193">
        <f>IF(I193="", "", MAX(0, I193-TIME(9,0,0)))</f>
        <v/>
      </c>
      <c r="K193">
        <f>IF(I193="", "", I193 + IF(H193="", 0, H193))</f>
        <v/>
      </c>
    </row>
    <row r="194">
      <c r="B194">
        <f>IF(A194="", "", IFERROR(VLOOKUP(A194, "Employee Master"!$A:$B, 2, FALSE), ""))</f>
        <v/>
      </c>
      <c r="D194">
        <f>IF(C194="", "", TEXT(C194, "ddd"))</f>
        <v/>
      </c>
      <c r="I194">
        <f>IF(OR(E194="Absent", E194="Leave", E194=""), "", IF(AND(F194&gt;0, G194&gt;0), G194-F194, ""))</f>
        <v/>
      </c>
      <c r="J194">
        <f>IF(I194="", "", MAX(0, I194-TIME(9,0,0)))</f>
        <v/>
      </c>
      <c r="K194">
        <f>IF(I194="", "", I194 + IF(H194="", 0, H194))</f>
        <v/>
      </c>
    </row>
    <row r="195">
      <c r="B195">
        <f>IF(A195="", "", IFERROR(VLOOKUP(A195, "Employee Master"!$A:$B, 2, FALSE), ""))</f>
        <v/>
      </c>
      <c r="D195">
        <f>IF(C195="", "", TEXT(C195, "ddd"))</f>
        <v/>
      </c>
      <c r="I195">
        <f>IF(OR(E195="Absent", E195="Leave", E195=""), "", IF(AND(F195&gt;0, G195&gt;0), G195-F195, ""))</f>
        <v/>
      </c>
      <c r="J195">
        <f>IF(I195="", "", MAX(0, I195-TIME(9,0,0)))</f>
        <v/>
      </c>
      <c r="K195">
        <f>IF(I195="", "", I195 + IF(H195="", 0, H195))</f>
        <v/>
      </c>
    </row>
    <row r="196">
      <c r="B196">
        <f>IF(A196="", "", IFERROR(VLOOKUP(A196, "Employee Master"!$A:$B, 2, FALSE), ""))</f>
        <v/>
      </c>
      <c r="D196">
        <f>IF(C196="", "", TEXT(C196, "ddd"))</f>
        <v/>
      </c>
      <c r="I196">
        <f>IF(OR(E196="Absent", E196="Leave", E196=""), "", IF(AND(F196&gt;0, G196&gt;0), G196-F196, ""))</f>
        <v/>
      </c>
      <c r="J196">
        <f>IF(I196="", "", MAX(0, I196-TIME(9,0,0)))</f>
        <v/>
      </c>
      <c r="K196">
        <f>IF(I196="", "", I196 + IF(H196="", 0, H196))</f>
        <v/>
      </c>
    </row>
    <row r="197">
      <c r="B197">
        <f>IF(A197="", "", IFERROR(VLOOKUP(A197, "Employee Master"!$A:$B, 2, FALSE), ""))</f>
        <v/>
      </c>
      <c r="D197">
        <f>IF(C197="", "", TEXT(C197, "ddd"))</f>
        <v/>
      </c>
      <c r="I197">
        <f>IF(OR(E197="Absent", E197="Leave", E197=""), "", IF(AND(F197&gt;0, G197&gt;0), G197-F197, ""))</f>
        <v/>
      </c>
      <c r="J197">
        <f>IF(I197="", "", MAX(0, I197-TIME(9,0,0)))</f>
        <v/>
      </c>
      <c r="K197">
        <f>IF(I197="", "", I197 + IF(H197="", 0, H197))</f>
        <v/>
      </c>
    </row>
    <row r="198">
      <c r="B198">
        <f>IF(A198="", "", IFERROR(VLOOKUP(A198, "Employee Master"!$A:$B, 2, FALSE), ""))</f>
        <v/>
      </c>
      <c r="D198">
        <f>IF(C198="", "", TEXT(C198, "ddd"))</f>
        <v/>
      </c>
      <c r="I198">
        <f>IF(OR(E198="Absent", E198="Leave", E198=""), "", IF(AND(F198&gt;0, G198&gt;0), G198-F198, ""))</f>
        <v/>
      </c>
      <c r="J198">
        <f>IF(I198="", "", MAX(0, I198-TIME(9,0,0)))</f>
        <v/>
      </c>
      <c r="K198">
        <f>IF(I198="", "", I198 + IF(H198="", 0, H198))</f>
        <v/>
      </c>
    </row>
    <row r="199">
      <c r="B199">
        <f>IF(A199="", "", IFERROR(VLOOKUP(A199, "Employee Master"!$A:$B, 2, FALSE), ""))</f>
        <v/>
      </c>
      <c r="D199">
        <f>IF(C199="", "", TEXT(C199, "ddd"))</f>
        <v/>
      </c>
      <c r="I199">
        <f>IF(OR(E199="Absent", E199="Leave", E199=""), "", IF(AND(F199&gt;0, G199&gt;0), G199-F199, ""))</f>
        <v/>
      </c>
      <c r="J199">
        <f>IF(I199="", "", MAX(0, I199-TIME(9,0,0)))</f>
        <v/>
      </c>
      <c r="K199">
        <f>IF(I199="", "", I199 + IF(H199="", 0, H199))</f>
        <v/>
      </c>
    </row>
    <row r="200">
      <c r="B200">
        <f>IF(A200="", "", IFERROR(VLOOKUP(A200, "Employee Master"!$A:$B, 2, FALSE), ""))</f>
        <v/>
      </c>
      <c r="D200">
        <f>IF(C200="", "", TEXT(C200, "ddd"))</f>
        <v/>
      </c>
      <c r="I200">
        <f>IF(OR(E200="Absent", E200="Leave", E200=""), "", IF(AND(F200&gt;0, G200&gt;0), G200-F200, ""))</f>
        <v/>
      </c>
      <c r="J200">
        <f>IF(I200="", "", MAX(0, I200-TIME(9,0,0)))</f>
        <v/>
      </c>
      <c r="K200">
        <f>IF(I200="", "", I200 + IF(H200="", 0, H200))</f>
        <v/>
      </c>
    </row>
    <row r="201">
      <c r="B201">
        <f>IF(A201="", "", IFERROR(VLOOKUP(A201, "Employee Master"!$A:$B, 2, FALSE), ""))</f>
        <v/>
      </c>
      <c r="D201">
        <f>IF(C201="", "", TEXT(C201, "ddd"))</f>
        <v/>
      </c>
      <c r="I201">
        <f>IF(OR(E201="Absent", E201="Leave", E201=""), "", IF(AND(F201&gt;0, G201&gt;0), G201-F201, ""))</f>
        <v/>
      </c>
      <c r="J201">
        <f>IF(I201="", "", MAX(0, I201-TIME(9,0,0)))</f>
        <v/>
      </c>
      <c r="K201">
        <f>IF(I201="", "", I201 + IF(H201="", 0, H201))</f>
        <v/>
      </c>
    </row>
  </sheetData>
  <conditionalFormatting sqref="E2:E201">
    <cfRule type="expression" priority="1" dxfId="0">
      <formula>$E2="Present"</formula>
    </cfRule>
    <cfRule type="expression" priority="2" dxfId="1">
      <formula>$E2="Absent"</formula>
    </cfRule>
    <cfRule type="expression" priority="3" dxfId="2">
      <formula>OR($E2="Half Day", $E2="OD")</formula>
    </cfRule>
  </conditionalFormatting>
  <dataValidations count="1">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"Present,Absent,Half Day,OD,Leave,WFH"</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0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Emp No</t>
        </is>
      </c>
      <c r="B1" s="1" t="inlineStr">
        <is>
          <t>Employee Name</t>
        </is>
      </c>
      <c r="C1" s="1" t="inlineStr">
        <is>
          <t>Advance Amount</t>
        </is>
      </c>
      <c r="D1" s="1" t="inlineStr">
        <is>
          <t>Reason/Purpose</t>
        </is>
      </c>
      <c r="E1" s="1" t="inlineStr">
        <is>
          <t>Date Given</t>
        </is>
      </c>
      <c r="F1" s="1" t="inlineStr">
        <is>
          <t>Time Given</t>
        </is>
      </c>
      <c r="G1" s="1" t="inlineStr">
        <is>
          <t>Given By</t>
        </is>
      </c>
      <c r="H1" s="1" t="inlineStr">
        <is>
          <t>Repayment Mode</t>
        </is>
      </c>
      <c r="I1" s="1" t="inlineStr">
        <is>
          <t>Status</t>
        </is>
      </c>
      <c r="J1" s="1" t="inlineStr">
        <is>
          <t>Amount Repaid</t>
        </is>
      </c>
      <c r="K1" s="1" t="inlineStr">
        <is>
          <t>Balance Due</t>
        </is>
      </c>
      <c r="L1" s="1" t="inlineStr">
        <is>
          <t>Remarks</t>
        </is>
      </c>
      <c r="M1" t="inlineStr">
        <is>
          <t>Advance Summary</t>
        </is>
      </c>
    </row>
    <row r="2">
      <c r="B2">
        <f>IF(A2="", "", IFERROR(VLOOKUP(A2, "Employee Master"!$A:$B, 2, FALSE), ""))</f>
        <v/>
      </c>
      <c r="E2">
        <f>IF(A2="", "", TODAY())</f>
        <v/>
      </c>
      <c r="F2">
        <f>IF(A2="", "", NOW())</f>
        <v/>
      </c>
      <c r="I2">
        <f>IF(K2="", "", IF(K2=0, "Repaid", IF(K2&lt;C2, "Partially Repaid", "Repaid")))</f>
        <v/>
      </c>
      <c r="K2">
        <f>IF(C2="", "", C2-J2)</f>
        <v/>
      </c>
      <c r="M2" t="inlineStr">
        <is>
          <t>Total Advance Taken</t>
        </is>
      </c>
    </row>
    <row r="3">
      <c r="B3">
        <f>IF(A3="", "", IFERROR(VLOOKUP(A3, "Employee Master"!$A:$B, 2, FALSE), ""))</f>
        <v/>
      </c>
      <c r="E3">
        <f>IF(A3="", "", TODAY())</f>
        <v/>
      </c>
      <c r="F3">
        <f>IF(A3="", "", NOW())</f>
        <v/>
      </c>
      <c r="I3">
        <f>IF(K3="", "", IF(K3=0, "Repaid", IF(K3&lt;C3, "Partially Repaid", "Repaid")))</f>
        <v/>
      </c>
      <c r="K3">
        <f>IF(C3="", "", C3-J3)</f>
        <v/>
      </c>
      <c r="M3" t="inlineStr">
        <is>
          <t>Total Repaid</t>
        </is>
      </c>
    </row>
    <row r="4">
      <c r="B4">
        <f>IF(A4="", "", IFERROR(VLOOKUP(A4, "Employee Master"!$A:$B, 2, FALSE), ""))</f>
        <v/>
      </c>
      <c r="E4">
        <f>IF(A4="", "", TODAY())</f>
        <v/>
      </c>
      <c r="F4">
        <f>IF(A4="", "", NOW())</f>
        <v/>
      </c>
      <c r="I4">
        <f>IF(K4="", "", IF(K4=0, "Repaid", IF(K4&lt;C4, "Partially Repaid", "Repaid")))</f>
        <v/>
      </c>
      <c r="K4">
        <f>IF(C4="", "", C4-J4)</f>
        <v/>
      </c>
      <c r="M4" t="inlineStr">
        <is>
          <t>Total Outstanding Balance</t>
        </is>
      </c>
    </row>
    <row r="5">
      <c r="B5">
        <f>IF(A5="", "", IFERROR(VLOOKUP(A5, "Employee Master"!$A:$B, 2, FALSE), ""))</f>
        <v/>
      </c>
      <c r="E5">
        <f>IF(A5="", "", TODAY())</f>
        <v/>
      </c>
      <c r="F5">
        <f>IF(A5="", "", NOW())</f>
        <v/>
      </c>
      <c r="I5">
        <f>IF(K5="", "", IF(K5=0, "Repaid", IF(K5&lt;C5, "Partially Repaid", "Repaid")))</f>
        <v/>
      </c>
      <c r="K5">
        <f>IF(C5="", "", C5-J5)</f>
        <v/>
      </c>
    </row>
    <row r="6">
      <c r="B6">
        <f>IF(A6="", "", IFERROR(VLOOKUP(A6, "Employee Master"!$A:$B, 2, FALSE), ""))</f>
        <v/>
      </c>
      <c r="E6">
        <f>IF(A6="", "", TODAY())</f>
        <v/>
      </c>
      <c r="F6">
        <f>IF(A6="", "", NOW())</f>
        <v/>
      </c>
      <c r="I6">
        <f>IF(K6="", "", IF(K6=0, "Repaid", IF(K6&lt;C6, "Partially Repaid", "Repaid")))</f>
        <v/>
      </c>
      <c r="K6">
        <f>IF(C6="", "", C6-J6)</f>
        <v/>
      </c>
    </row>
    <row r="7">
      <c r="B7">
        <f>IF(A7="", "", IFERROR(VLOOKUP(A7, "Employee Master"!$A:$B, 2, FALSE), ""))</f>
        <v/>
      </c>
      <c r="E7">
        <f>IF(A7="", "", TODAY())</f>
        <v/>
      </c>
      <c r="F7">
        <f>IF(A7="", "", NOW())</f>
        <v/>
      </c>
      <c r="I7">
        <f>IF(K7="", "", IF(K7=0, "Repaid", IF(K7&lt;C7, "Partially Repaid", "Repaid")))</f>
        <v/>
      </c>
      <c r="K7">
        <f>IF(C7="", "", C7-J7)</f>
        <v/>
      </c>
    </row>
    <row r="8">
      <c r="B8">
        <f>IF(A8="", "", IFERROR(VLOOKUP(A8, "Employee Master"!$A:$B, 2, FALSE), ""))</f>
        <v/>
      </c>
      <c r="E8">
        <f>IF(A8="", "", TODAY())</f>
        <v/>
      </c>
      <c r="F8">
        <f>IF(A8="", "", NOW())</f>
        <v/>
      </c>
      <c r="I8">
        <f>IF(K8="", "", IF(K8=0, "Repaid", IF(K8&lt;C8, "Partially Repaid", "Repaid")))</f>
        <v/>
      </c>
      <c r="K8">
        <f>IF(C8="", "", C8-J8)</f>
        <v/>
      </c>
    </row>
    <row r="9">
      <c r="B9">
        <f>IF(A9="", "", IFERROR(VLOOKUP(A9, "Employee Master"!$A:$B, 2, FALSE), ""))</f>
        <v/>
      </c>
      <c r="E9">
        <f>IF(A9="", "", TODAY())</f>
        <v/>
      </c>
      <c r="F9">
        <f>IF(A9="", "", NOW())</f>
        <v/>
      </c>
      <c r="I9">
        <f>IF(K9="", "", IF(K9=0, "Repaid", IF(K9&lt;C9, "Partially Repaid", "Repaid")))</f>
        <v/>
      </c>
      <c r="K9">
        <f>IF(C9="", "", C9-J9)</f>
        <v/>
      </c>
    </row>
    <row r="10">
      <c r="B10">
        <f>IF(A10="", "", IFERROR(VLOOKUP(A10, "Employee Master"!$A:$B, 2, FALSE), ""))</f>
        <v/>
      </c>
      <c r="E10">
        <f>IF(A10="", "", TODAY())</f>
        <v/>
      </c>
      <c r="F10">
        <f>IF(A10="", "", NOW())</f>
        <v/>
      </c>
      <c r="I10">
        <f>IF(K10="", "", IF(K10=0, "Repaid", IF(K10&lt;C10, "Partially Repaid", "Repaid")))</f>
        <v/>
      </c>
      <c r="K10">
        <f>IF(C10="", "", C10-J10)</f>
        <v/>
      </c>
    </row>
    <row r="11">
      <c r="B11">
        <f>IF(A11="", "", IFERROR(VLOOKUP(A11, "Employee Master"!$A:$B, 2, FALSE), ""))</f>
        <v/>
      </c>
      <c r="E11">
        <f>IF(A11="", "", TODAY())</f>
        <v/>
      </c>
      <c r="F11">
        <f>IF(A11="", "", NOW())</f>
        <v/>
      </c>
      <c r="I11">
        <f>IF(K11="", "", IF(K11=0, "Repaid", IF(K11&lt;C11, "Partially Repaid", "Repaid")))</f>
        <v/>
      </c>
      <c r="K11">
        <f>IF(C11="", "", C11-J11)</f>
        <v/>
      </c>
    </row>
    <row r="12">
      <c r="B12">
        <f>IF(A12="", "", IFERROR(VLOOKUP(A12, "Employee Master"!$A:$B, 2, FALSE), ""))</f>
        <v/>
      </c>
      <c r="E12">
        <f>IF(A12="", "", TODAY())</f>
        <v/>
      </c>
      <c r="F12">
        <f>IF(A12="", "", NOW())</f>
        <v/>
      </c>
      <c r="I12">
        <f>IF(K12="", "", IF(K12=0, "Repaid", IF(K12&lt;C12, "Partially Repaid", "Repaid")))</f>
        <v/>
      </c>
      <c r="K12">
        <f>IF(C12="", "", C12-J12)</f>
        <v/>
      </c>
    </row>
    <row r="13">
      <c r="B13">
        <f>IF(A13="", "", IFERROR(VLOOKUP(A13, "Employee Master"!$A:$B, 2, FALSE), ""))</f>
        <v/>
      </c>
      <c r="E13">
        <f>IF(A13="", "", TODAY())</f>
        <v/>
      </c>
      <c r="F13">
        <f>IF(A13="", "", NOW())</f>
        <v/>
      </c>
      <c r="I13">
        <f>IF(K13="", "", IF(K13=0, "Repaid", IF(K13&lt;C13, "Partially Repaid", "Repaid")))</f>
        <v/>
      </c>
      <c r="K13">
        <f>IF(C13="", "", C13-J13)</f>
        <v/>
      </c>
    </row>
    <row r="14">
      <c r="B14">
        <f>IF(A14="", "", IFERROR(VLOOKUP(A14, "Employee Master"!$A:$B, 2, FALSE), ""))</f>
        <v/>
      </c>
      <c r="E14">
        <f>IF(A14="", "", TODAY())</f>
        <v/>
      </c>
      <c r="F14">
        <f>IF(A14="", "", NOW())</f>
        <v/>
      </c>
      <c r="I14">
        <f>IF(K14="", "", IF(K14=0, "Repaid", IF(K14&lt;C14, "Partially Repaid", "Repaid")))</f>
        <v/>
      </c>
      <c r="K14">
        <f>IF(C14="", "", C14-J14)</f>
        <v/>
      </c>
    </row>
    <row r="15">
      <c r="B15">
        <f>IF(A15="", "", IFERROR(VLOOKUP(A15, "Employee Master"!$A:$B, 2, FALSE), ""))</f>
        <v/>
      </c>
      <c r="E15">
        <f>IF(A15="", "", TODAY())</f>
        <v/>
      </c>
      <c r="F15">
        <f>IF(A15="", "", NOW())</f>
        <v/>
      </c>
      <c r="I15">
        <f>IF(K15="", "", IF(K15=0, "Repaid", IF(K15&lt;C15, "Partially Repaid", "Repaid")))</f>
        <v/>
      </c>
      <c r="K15">
        <f>IF(C15="", "", C15-J15)</f>
        <v/>
      </c>
    </row>
    <row r="16">
      <c r="B16">
        <f>IF(A16="", "", IFERROR(VLOOKUP(A16, "Employee Master"!$A:$B, 2, FALSE), ""))</f>
        <v/>
      </c>
      <c r="E16">
        <f>IF(A16="", "", TODAY())</f>
        <v/>
      </c>
      <c r="F16">
        <f>IF(A16="", "", NOW())</f>
        <v/>
      </c>
      <c r="I16">
        <f>IF(K16="", "", IF(K16=0, "Repaid", IF(K16&lt;C16, "Partially Repaid", "Repaid")))</f>
        <v/>
      </c>
      <c r="K16">
        <f>IF(C16="", "", C16-J16)</f>
        <v/>
      </c>
    </row>
    <row r="17">
      <c r="B17">
        <f>IF(A17="", "", IFERROR(VLOOKUP(A17, "Employee Master"!$A:$B, 2, FALSE), ""))</f>
        <v/>
      </c>
      <c r="E17">
        <f>IF(A17="", "", TODAY())</f>
        <v/>
      </c>
      <c r="F17">
        <f>IF(A17="", "", NOW())</f>
        <v/>
      </c>
      <c r="I17">
        <f>IF(K17="", "", IF(K17=0, "Repaid", IF(K17&lt;C17, "Partially Repaid", "Repaid")))</f>
        <v/>
      </c>
      <c r="K17">
        <f>IF(C17="", "", C17-J17)</f>
        <v/>
      </c>
    </row>
    <row r="18">
      <c r="B18">
        <f>IF(A18="", "", IFERROR(VLOOKUP(A18, "Employee Master"!$A:$B, 2, FALSE), ""))</f>
        <v/>
      </c>
      <c r="E18">
        <f>IF(A18="", "", TODAY())</f>
        <v/>
      </c>
      <c r="F18">
        <f>IF(A18="", "", NOW())</f>
        <v/>
      </c>
      <c r="I18">
        <f>IF(K18="", "", IF(K18=0, "Repaid", IF(K18&lt;C18, "Partially Repaid", "Repaid")))</f>
        <v/>
      </c>
      <c r="K18">
        <f>IF(C18="", "", C18-J18)</f>
        <v/>
      </c>
    </row>
    <row r="19">
      <c r="B19">
        <f>IF(A19="", "", IFERROR(VLOOKUP(A19, "Employee Master"!$A:$B, 2, FALSE), ""))</f>
        <v/>
      </c>
      <c r="E19">
        <f>IF(A19="", "", TODAY())</f>
        <v/>
      </c>
      <c r="F19">
        <f>IF(A19="", "", NOW())</f>
        <v/>
      </c>
      <c r="I19">
        <f>IF(K19="", "", IF(K19=0, "Repaid", IF(K19&lt;C19, "Partially Repaid", "Repaid")))</f>
        <v/>
      </c>
      <c r="K19">
        <f>IF(C19="", "", C19-J19)</f>
        <v/>
      </c>
    </row>
    <row r="20">
      <c r="B20">
        <f>IF(A20="", "", IFERROR(VLOOKUP(A20, "Employee Master"!$A:$B, 2, FALSE), ""))</f>
        <v/>
      </c>
      <c r="E20">
        <f>IF(A20="", "", TODAY())</f>
        <v/>
      </c>
      <c r="F20">
        <f>IF(A20="", "", NOW())</f>
        <v/>
      </c>
      <c r="I20">
        <f>IF(K20="", "", IF(K20=0, "Repaid", IF(K20&lt;C20, "Partially Repaid", "Repaid")))</f>
        <v/>
      </c>
      <c r="K20">
        <f>IF(C20="", "", C20-J20)</f>
        <v/>
      </c>
    </row>
    <row r="21">
      <c r="B21">
        <f>IF(A21="", "", IFERROR(VLOOKUP(A21, "Employee Master"!$A:$B, 2, FALSE), ""))</f>
        <v/>
      </c>
      <c r="E21">
        <f>IF(A21="", "", TODAY())</f>
        <v/>
      </c>
      <c r="F21">
        <f>IF(A21="", "", NOW())</f>
        <v/>
      </c>
      <c r="I21">
        <f>IF(K21="", "", IF(K21=0, "Repaid", IF(K21&lt;C21, "Partially Repaid", "Repaid")))</f>
        <v/>
      </c>
      <c r="K21">
        <f>IF(C21="", "", C21-J21)</f>
        <v/>
      </c>
    </row>
    <row r="22">
      <c r="B22">
        <f>IF(A22="", "", IFERROR(VLOOKUP(A22, "Employee Master"!$A:$B, 2, FALSE), ""))</f>
        <v/>
      </c>
      <c r="E22">
        <f>IF(A22="", "", TODAY())</f>
        <v/>
      </c>
      <c r="F22">
        <f>IF(A22="", "", NOW())</f>
        <v/>
      </c>
      <c r="I22">
        <f>IF(K22="", "", IF(K22=0, "Repaid", IF(K22&lt;C22, "Partially Repaid", "Repaid")))</f>
        <v/>
      </c>
      <c r="K22">
        <f>IF(C22="", "", C22-J22)</f>
        <v/>
      </c>
    </row>
    <row r="23">
      <c r="B23">
        <f>IF(A23="", "", IFERROR(VLOOKUP(A23, "Employee Master"!$A:$B, 2, FALSE), ""))</f>
        <v/>
      </c>
      <c r="E23">
        <f>IF(A23="", "", TODAY())</f>
        <v/>
      </c>
      <c r="F23">
        <f>IF(A23="", "", NOW())</f>
        <v/>
      </c>
      <c r="I23">
        <f>IF(K23="", "", IF(K23=0, "Repaid", IF(K23&lt;C23, "Partially Repaid", "Repaid")))</f>
        <v/>
      </c>
      <c r="K23">
        <f>IF(C23="", "", C23-J23)</f>
        <v/>
      </c>
    </row>
    <row r="24">
      <c r="B24">
        <f>IF(A24="", "", IFERROR(VLOOKUP(A24, "Employee Master"!$A:$B, 2, FALSE), ""))</f>
        <v/>
      </c>
      <c r="E24">
        <f>IF(A24="", "", TODAY())</f>
        <v/>
      </c>
      <c r="F24">
        <f>IF(A24="", "", NOW())</f>
        <v/>
      </c>
      <c r="I24">
        <f>IF(K24="", "", IF(K24=0, "Repaid", IF(K24&lt;C24, "Partially Repaid", "Repaid")))</f>
        <v/>
      </c>
      <c r="K24">
        <f>IF(C24="", "", C24-J24)</f>
        <v/>
      </c>
    </row>
    <row r="25">
      <c r="B25">
        <f>IF(A25="", "", IFERROR(VLOOKUP(A25, "Employee Master"!$A:$B, 2, FALSE), ""))</f>
        <v/>
      </c>
      <c r="E25">
        <f>IF(A25="", "", TODAY())</f>
        <v/>
      </c>
      <c r="F25">
        <f>IF(A25="", "", NOW())</f>
        <v/>
      </c>
      <c r="I25">
        <f>IF(K25="", "", IF(K25=0, "Repaid", IF(K25&lt;C25, "Partially Repaid", "Repaid")))</f>
        <v/>
      </c>
      <c r="K25">
        <f>IF(C25="", "", C25-J25)</f>
        <v/>
      </c>
    </row>
    <row r="26">
      <c r="B26">
        <f>IF(A26="", "", IFERROR(VLOOKUP(A26, "Employee Master"!$A:$B, 2, FALSE), ""))</f>
        <v/>
      </c>
      <c r="E26">
        <f>IF(A26="", "", TODAY())</f>
        <v/>
      </c>
      <c r="F26">
        <f>IF(A26="", "", NOW())</f>
        <v/>
      </c>
      <c r="I26">
        <f>IF(K26="", "", IF(K26=0, "Repaid", IF(K26&lt;C26, "Partially Repaid", "Repaid")))</f>
        <v/>
      </c>
      <c r="K26">
        <f>IF(C26="", "", C26-J26)</f>
        <v/>
      </c>
    </row>
    <row r="27">
      <c r="B27">
        <f>IF(A27="", "", IFERROR(VLOOKUP(A27, "Employee Master"!$A:$B, 2, FALSE), ""))</f>
        <v/>
      </c>
      <c r="E27">
        <f>IF(A27="", "", TODAY())</f>
        <v/>
      </c>
      <c r="F27">
        <f>IF(A27="", "", NOW())</f>
        <v/>
      </c>
      <c r="I27">
        <f>IF(K27="", "", IF(K27=0, "Repaid", IF(K27&lt;C27, "Partially Repaid", "Repaid")))</f>
        <v/>
      </c>
      <c r="K27">
        <f>IF(C27="", "", C27-J27)</f>
        <v/>
      </c>
    </row>
    <row r="28">
      <c r="B28">
        <f>IF(A28="", "", IFERROR(VLOOKUP(A28, "Employee Master"!$A:$B, 2, FALSE), ""))</f>
        <v/>
      </c>
      <c r="E28">
        <f>IF(A28="", "", TODAY())</f>
        <v/>
      </c>
      <c r="F28">
        <f>IF(A28="", "", NOW())</f>
        <v/>
      </c>
      <c r="I28">
        <f>IF(K28="", "", IF(K28=0, "Repaid", IF(K28&lt;C28, "Partially Repaid", "Repaid")))</f>
        <v/>
      </c>
      <c r="K28">
        <f>IF(C28="", "", C28-J28)</f>
        <v/>
      </c>
    </row>
    <row r="29">
      <c r="B29">
        <f>IF(A29="", "", IFERROR(VLOOKUP(A29, "Employee Master"!$A:$B, 2, FALSE), ""))</f>
        <v/>
      </c>
      <c r="E29">
        <f>IF(A29="", "", TODAY())</f>
        <v/>
      </c>
      <c r="F29">
        <f>IF(A29="", "", NOW())</f>
        <v/>
      </c>
      <c r="I29">
        <f>IF(K29="", "", IF(K29=0, "Repaid", IF(K29&lt;C29, "Partially Repaid", "Repaid")))</f>
        <v/>
      </c>
      <c r="K29">
        <f>IF(C29="", "", C29-J29)</f>
        <v/>
      </c>
    </row>
    <row r="30">
      <c r="B30">
        <f>IF(A30="", "", IFERROR(VLOOKUP(A30, "Employee Master"!$A:$B, 2, FALSE), ""))</f>
        <v/>
      </c>
      <c r="E30">
        <f>IF(A30="", "", TODAY())</f>
        <v/>
      </c>
      <c r="F30">
        <f>IF(A30="", "", NOW())</f>
        <v/>
      </c>
      <c r="I30">
        <f>IF(K30="", "", IF(K30=0, "Repaid", IF(K30&lt;C30, "Partially Repaid", "Repaid")))</f>
        <v/>
      </c>
      <c r="K30">
        <f>IF(C30="", "", C30-J30)</f>
        <v/>
      </c>
    </row>
    <row r="31">
      <c r="B31">
        <f>IF(A31="", "", IFERROR(VLOOKUP(A31, "Employee Master"!$A:$B, 2, FALSE), ""))</f>
        <v/>
      </c>
      <c r="E31">
        <f>IF(A31="", "", TODAY())</f>
        <v/>
      </c>
      <c r="F31">
        <f>IF(A31="", "", NOW())</f>
        <v/>
      </c>
      <c r="I31">
        <f>IF(K31="", "", IF(K31=0, "Repaid", IF(K31&lt;C31, "Partially Repaid", "Repaid")))</f>
        <v/>
      </c>
      <c r="K31">
        <f>IF(C31="", "", C31-J31)</f>
        <v/>
      </c>
    </row>
    <row r="32">
      <c r="B32">
        <f>IF(A32="", "", IFERROR(VLOOKUP(A32, "Employee Master"!$A:$B, 2, FALSE), ""))</f>
        <v/>
      </c>
      <c r="E32">
        <f>IF(A32="", "", TODAY())</f>
        <v/>
      </c>
      <c r="F32">
        <f>IF(A32="", "", NOW())</f>
        <v/>
      </c>
      <c r="I32">
        <f>IF(K32="", "", IF(K32=0, "Repaid", IF(K32&lt;C32, "Partially Repaid", "Repaid")))</f>
        <v/>
      </c>
      <c r="K32">
        <f>IF(C32="", "", C32-J32)</f>
        <v/>
      </c>
    </row>
    <row r="33">
      <c r="B33">
        <f>IF(A33="", "", IFERROR(VLOOKUP(A33, "Employee Master"!$A:$B, 2, FALSE), ""))</f>
        <v/>
      </c>
      <c r="E33">
        <f>IF(A33="", "", TODAY())</f>
        <v/>
      </c>
      <c r="F33">
        <f>IF(A33="", "", NOW())</f>
        <v/>
      </c>
      <c r="I33">
        <f>IF(K33="", "", IF(K33=0, "Repaid", IF(K33&lt;C33, "Partially Repaid", "Repaid")))</f>
        <v/>
      </c>
      <c r="K33">
        <f>IF(C33="", "", C33-J33)</f>
        <v/>
      </c>
    </row>
    <row r="34">
      <c r="B34">
        <f>IF(A34="", "", IFERROR(VLOOKUP(A34, "Employee Master"!$A:$B, 2, FALSE), ""))</f>
        <v/>
      </c>
      <c r="E34">
        <f>IF(A34="", "", TODAY())</f>
        <v/>
      </c>
      <c r="F34">
        <f>IF(A34="", "", NOW())</f>
        <v/>
      </c>
      <c r="I34">
        <f>IF(K34="", "", IF(K34=0, "Repaid", IF(K34&lt;C34, "Partially Repaid", "Repaid")))</f>
        <v/>
      </c>
      <c r="K34">
        <f>IF(C34="", "", C34-J34)</f>
        <v/>
      </c>
    </row>
    <row r="35">
      <c r="B35">
        <f>IF(A35="", "", IFERROR(VLOOKUP(A35, "Employee Master"!$A:$B, 2, FALSE), ""))</f>
        <v/>
      </c>
      <c r="E35">
        <f>IF(A35="", "", TODAY())</f>
        <v/>
      </c>
      <c r="F35">
        <f>IF(A35="", "", NOW())</f>
        <v/>
      </c>
      <c r="I35">
        <f>IF(K35="", "", IF(K35=0, "Repaid", IF(K35&lt;C35, "Partially Repaid", "Repaid")))</f>
        <v/>
      </c>
      <c r="K35">
        <f>IF(C35="", "", C35-J35)</f>
        <v/>
      </c>
    </row>
    <row r="36">
      <c r="B36">
        <f>IF(A36="", "", IFERROR(VLOOKUP(A36, "Employee Master"!$A:$B, 2, FALSE), ""))</f>
        <v/>
      </c>
      <c r="E36">
        <f>IF(A36="", "", TODAY())</f>
        <v/>
      </c>
      <c r="F36">
        <f>IF(A36="", "", NOW())</f>
        <v/>
      </c>
      <c r="I36">
        <f>IF(K36="", "", IF(K36=0, "Repaid", IF(K36&lt;C36, "Partially Repaid", "Repaid")))</f>
        <v/>
      </c>
      <c r="K36">
        <f>IF(C36="", "", C36-J36)</f>
        <v/>
      </c>
    </row>
    <row r="37">
      <c r="B37">
        <f>IF(A37="", "", IFERROR(VLOOKUP(A37, "Employee Master"!$A:$B, 2, FALSE), ""))</f>
        <v/>
      </c>
      <c r="E37">
        <f>IF(A37="", "", TODAY())</f>
        <v/>
      </c>
      <c r="F37">
        <f>IF(A37="", "", NOW())</f>
        <v/>
      </c>
      <c r="I37">
        <f>IF(K37="", "", IF(K37=0, "Repaid", IF(K37&lt;C37, "Partially Repaid", "Repaid")))</f>
        <v/>
      </c>
      <c r="K37">
        <f>IF(C37="", "", C37-J37)</f>
        <v/>
      </c>
    </row>
    <row r="38">
      <c r="B38">
        <f>IF(A38="", "", IFERROR(VLOOKUP(A38, "Employee Master"!$A:$B, 2, FALSE), ""))</f>
        <v/>
      </c>
      <c r="E38">
        <f>IF(A38="", "", TODAY())</f>
        <v/>
      </c>
      <c r="F38">
        <f>IF(A38="", "", NOW())</f>
        <v/>
      </c>
      <c r="I38">
        <f>IF(K38="", "", IF(K38=0, "Repaid", IF(K38&lt;C38, "Partially Repaid", "Repaid")))</f>
        <v/>
      </c>
      <c r="K38">
        <f>IF(C38="", "", C38-J38)</f>
        <v/>
      </c>
    </row>
    <row r="39">
      <c r="B39">
        <f>IF(A39="", "", IFERROR(VLOOKUP(A39, "Employee Master"!$A:$B, 2, FALSE), ""))</f>
        <v/>
      </c>
      <c r="E39">
        <f>IF(A39="", "", TODAY())</f>
        <v/>
      </c>
      <c r="F39">
        <f>IF(A39="", "", NOW())</f>
        <v/>
      </c>
      <c r="I39">
        <f>IF(K39="", "", IF(K39=0, "Repaid", IF(K39&lt;C39, "Partially Repaid", "Repaid")))</f>
        <v/>
      </c>
      <c r="K39">
        <f>IF(C39="", "", C39-J39)</f>
        <v/>
      </c>
    </row>
    <row r="40">
      <c r="B40">
        <f>IF(A40="", "", IFERROR(VLOOKUP(A40, "Employee Master"!$A:$B, 2, FALSE), ""))</f>
        <v/>
      </c>
      <c r="E40">
        <f>IF(A40="", "", TODAY())</f>
        <v/>
      </c>
      <c r="F40">
        <f>IF(A40="", "", NOW())</f>
        <v/>
      </c>
      <c r="I40">
        <f>IF(K40="", "", IF(K40=0, "Repaid", IF(K40&lt;C40, "Partially Repaid", "Repaid")))</f>
        <v/>
      </c>
      <c r="K40">
        <f>IF(C40="", "", C40-J40)</f>
        <v/>
      </c>
    </row>
    <row r="41">
      <c r="B41">
        <f>IF(A41="", "", IFERROR(VLOOKUP(A41, "Employee Master"!$A:$B, 2, FALSE), ""))</f>
        <v/>
      </c>
      <c r="E41">
        <f>IF(A41="", "", TODAY())</f>
        <v/>
      </c>
      <c r="F41">
        <f>IF(A41="", "", NOW())</f>
        <v/>
      </c>
      <c r="I41">
        <f>IF(K41="", "", IF(K41=0, "Repaid", IF(K41&lt;C41, "Partially Repaid", "Repaid")))</f>
        <v/>
      </c>
      <c r="K41">
        <f>IF(C41="", "", C41-J41)</f>
        <v/>
      </c>
    </row>
    <row r="42">
      <c r="B42">
        <f>IF(A42="", "", IFERROR(VLOOKUP(A42, "Employee Master"!$A:$B, 2, FALSE), ""))</f>
        <v/>
      </c>
      <c r="E42">
        <f>IF(A42="", "", TODAY())</f>
        <v/>
      </c>
      <c r="F42">
        <f>IF(A42="", "", NOW())</f>
        <v/>
      </c>
      <c r="I42">
        <f>IF(K42="", "", IF(K42=0, "Repaid", IF(K42&lt;C42, "Partially Repaid", "Repaid")))</f>
        <v/>
      </c>
      <c r="K42">
        <f>IF(C42="", "", C42-J42)</f>
        <v/>
      </c>
    </row>
    <row r="43">
      <c r="B43">
        <f>IF(A43="", "", IFERROR(VLOOKUP(A43, "Employee Master"!$A:$B, 2, FALSE), ""))</f>
        <v/>
      </c>
      <c r="E43">
        <f>IF(A43="", "", TODAY())</f>
        <v/>
      </c>
      <c r="F43">
        <f>IF(A43="", "", NOW())</f>
        <v/>
      </c>
      <c r="I43">
        <f>IF(K43="", "", IF(K43=0, "Repaid", IF(K43&lt;C43, "Partially Repaid", "Repaid")))</f>
        <v/>
      </c>
      <c r="K43">
        <f>IF(C43="", "", C43-J43)</f>
        <v/>
      </c>
    </row>
    <row r="44">
      <c r="B44">
        <f>IF(A44="", "", IFERROR(VLOOKUP(A44, "Employee Master"!$A:$B, 2, FALSE), ""))</f>
        <v/>
      </c>
      <c r="E44">
        <f>IF(A44="", "", TODAY())</f>
        <v/>
      </c>
      <c r="F44">
        <f>IF(A44="", "", NOW())</f>
        <v/>
      </c>
      <c r="I44">
        <f>IF(K44="", "", IF(K44=0, "Repaid", IF(K44&lt;C44, "Partially Repaid", "Repaid")))</f>
        <v/>
      </c>
      <c r="K44">
        <f>IF(C44="", "", C44-J44)</f>
        <v/>
      </c>
    </row>
    <row r="45">
      <c r="B45">
        <f>IF(A45="", "", IFERROR(VLOOKUP(A45, "Employee Master"!$A:$B, 2, FALSE), ""))</f>
        <v/>
      </c>
      <c r="E45">
        <f>IF(A45="", "", TODAY())</f>
        <v/>
      </c>
      <c r="F45">
        <f>IF(A45="", "", NOW())</f>
        <v/>
      </c>
      <c r="I45">
        <f>IF(K45="", "", IF(K45=0, "Repaid", IF(K45&lt;C45, "Partially Repaid", "Repaid")))</f>
        <v/>
      </c>
      <c r="K45">
        <f>IF(C45="", "", C45-J45)</f>
        <v/>
      </c>
    </row>
    <row r="46">
      <c r="B46">
        <f>IF(A46="", "", IFERROR(VLOOKUP(A46, "Employee Master"!$A:$B, 2, FALSE), ""))</f>
        <v/>
      </c>
      <c r="E46">
        <f>IF(A46="", "", TODAY())</f>
        <v/>
      </c>
      <c r="F46">
        <f>IF(A46="", "", NOW())</f>
        <v/>
      </c>
      <c r="I46">
        <f>IF(K46="", "", IF(K46=0, "Repaid", IF(K46&lt;C46, "Partially Repaid", "Repaid")))</f>
        <v/>
      </c>
      <c r="K46">
        <f>IF(C46="", "", C46-J46)</f>
        <v/>
      </c>
    </row>
    <row r="47">
      <c r="B47">
        <f>IF(A47="", "", IFERROR(VLOOKUP(A47, "Employee Master"!$A:$B, 2, FALSE), ""))</f>
        <v/>
      </c>
      <c r="E47">
        <f>IF(A47="", "", TODAY())</f>
        <v/>
      </c>
      <c r="F47">
        <f>IF(A47="", "", NOW())</f>
        <v/>
      </c>
      <c r="I47">
        <f>IF(K47="", "", IF(K47=0, "Repaid", IF(K47&lt;C47, "Partially Repaid", "Repaid")))</f>
        <v/>
      </c>
      <c r="K47">
        <f>IF(C47="", "", C47-J47)</f>
        <v/>
      </c>
    </row>
    <row r="48">
      <c r="B48">
        <f>IF(A48="", "", IFERROR(VLOOKUP(A48, "Employee Master"!$A:$B, 2, FALSE), ""))</f>
        <v/>
      </c>
      <c r="E48">
        <f>IF(A48="", "", TODAY())</f>
        <v/>
      </c>
      <c r="F48">
        <f>IF(A48="", "", NOW())</f>
        <v/>
      </c>
      <c r="I48">
        <f>IF(K48="", "", IF(K48=0, "Repaid", IF(K48&lt;C48, "Partially Repaid", "Repaid")))</f>
        <v/>
      </c>
      <c r="K48">
        <f>IF(C48="", "", C48-J48)</f>
        <v/>
      </c>
    </row>
    <row r="49">
      <c r="B49">
        <f>IF(A49="", "", IFERROR(VLOOKUP(A49, "Employee Master"!$A:$B, 2, FALSE), ""))</f>
        <v/>
      </c>
      <c r="E49">
        <f>IF(A49="", "", TODAY())</f>
        <v/>
      </c>
      <c r="F49">
        <f>IF(A49="", "", NOW())</f>
        <v/>
      </c>
      <c r="I49">
        <f>IF(K49="", "", IF(K49=0, "Repaid", IF(K49&lt;C49, "Partially Repaid", "Repaid")))</f>
        <v/>
      </c>
      <c r="K49">
        <f>IF(C49="", "", C49-J49)</f>
        <v/>
      </c>
    </row>
    <row r="50">
      <c r="B50">
        <f>IF(A50="", "", IFERROR(VLOOKUP(A50, "Employee Master"!$A:$B, 2, FALSE), ""))</f>
        <v/>
      </c>
      <c r="E50">
        <f>IF(A50="", "", TODAY())</f>
        <v/>
      </c>
      <c r="F50">
        <f>IF(A50="", "", NOW())</f>
        <v/>
      </c>
      <c r="I50">
        <f>IF(K50="", "", IF(K50=0, "Repaid", IF(K50&lt;C50, "Partially Repaid", "Repaid")))</f>
        <v/>
      </c>
      <c r="K50">
        <f>IF(C50="", "", C50-J50)</f>
        <v/>
      </c>
    </row>
    <row r="51">
      <c r="B51">
        <f>IF(A51="", "", IFERROR(VLOOKUP(A51, "Employee Master"!$A:$B, 2, FALSE), ""))</f>
        <v/>
      </c>
      <c r="E51">
        <f>IF(A51="", "", TODAY())</f>
        <v/>
      </c>
      <c r="F51">
        <f>IF(A51="", "", NOW())</f>
        <v/>
      </c>
      <c r="I51">
        <f>IF(K51="", "", IF(K51=0, "Repaid", IF(K51&lt;C51, "Partially Repaid", "Repaid")))</f>
        <v/>
      </c>
      <c r="K51">
        <f>IF(C51="", "", C51-J51)</f>
        <v/>
      </c>
    </row>
    <row r="52">
      <c r="B52">
        <f>IF(A52="", "", IFERROR(VLOOKUP(A52, "Employee Master"!$A:$B, 2, FALSE), ""))</f>
        <v/>
      </c>
      <c r="E52">
        <f>IF(A52="", "", TODAY())</f>
        <v/>
      </c>
      <c r="F52">
        <f>IF(A52="", "", NOW())</f>
        <v/>
      </c>
      <c r="I52">
        <f>IF(K52="", "", IF(K52=0, "Repaid", IF(K52&lt;C52, "Partially Repaid", "Repaid")))</f>
        <v/>
      </c>
      <c r="K52">
        <f>IF(C52="", "", C52-J52)</f>
        <v/>
      </c>
    </row>
    <row r="53">
      <c r="B53">
        <f>IF(A53="", "", IFERROR(VLOOKUP(A53, "Employee Master"!$A:$B, 2, FALSE), ""))</f>
        <v/>
      </c>
      <c r="E53">
        <f>IF(A53="", "", TODAY())</f>
        <v/>
      </c>
      <c r="F53">
        <f>IF(A53="", "", NOW())</f>
        <v/>
      </c>
      <c r="I53">
        <f>IF(K53="", "", IF(K53=0, "Repaid", IF(K53&lt;C53, "Partially Repaid", "Repaid")))</f>
        <v/>
      </c>
      <c r="K53">
        <f>IF(C53="", "", C53-J53)</f>
        <v/>
      </c>
    </row>
    <row r="54">
      <c r="B54">
        <f>IF(A54="", "", IFERROR(VLOOKUP(A54, "Employee Master"!$A:$B, 2, FALSE), ""))</f>
        <v/>
      </c>
      <c r="E54">
        <f>IF(A54="", "", TODAY())</f>
        <v/>
      </c>
      <c r="F54">
        <f>IF(A54="", "", NOW())</f>
        <v/>
      </c>
      <c r="I54">
        <f>IF(K54="", "", IF(K54=0, "Repaid", IF(K54&lt;C54, "Partially Repaid", "Repaid")))</f>
        <v/>
      </c>
      <c r="K54">
        <f>IF(C54="", "", C54-J54)</f>
        <v/>
      </c>
    </row>
    <row r="55">
      <c r="B55">
        <f>IF(A55="", "", IFERROR(VLOOKUP(A55, "Employee Master"!$A:$B, 2, FALSE), ""))</f>
        <v/>
      </c>
      <c r="E55">
        <f>IF(A55="", "", TODAY())</f>
        <v/>
      </c>
      <c r="F55">
        <f>IF(A55="", "", NOW())</f>
        <v/>
      </c>
      <c r="I55">
        <f>IF(K55="", "", IF(K55=0, "Repaid", IF(K55&lt;C55, "Partially Repaid", "Repaid")))</f>
        <v/>
      </c>
      <c r="K55">
        <f>IF(C55="", "", C55-J55)</f>
        <v/>
      </c>
    </row>
    <row r="56">
      <c r="B56">
        <f>IF(A56="", "", IFERROR(VLOOKUP(A56, "Employee Master"!$A:$B, 2, FALSE), ""))</f>
        <v/>
      </c>
      <c r="E56">
        <f>IF(A56="", "", TODAY())</f>
        <v/>
      </c>
      <c r="F56">
        <f>IF(A56="", "", NOW())</f>
        <v/>
      </c>
      <c r="I56">
        <f>IF(K56="", "", IF(K56=0, "Repaid", IF(K56&lt;C56, "Partially Repaid", "Repaid")))</f>
        <v/>
      </c>
      <c r="K56">
        <f>IF(C56="", "", C56-J56)</f>
        <v/>
      </c>
    </row>
    <row r="57">
      <c r="B57">
        <f>IF(A57="", "", IFERROR(VLOOKUP(A57, "Employee Master"!$A:$B, 2, FALSE), ""))</f>
        <v/>
      </c>
      <c r="E57">
        <f>IF(A57="", "", TODAY())</f>
        <v/>
      </c>
      <c r="F57">
        <f>IF(A57="", "", NOW())</f>
        <v/>
      </c>
      <c r="I57">
        <f>IF(K57="", "", IF(K57=0, "Repaid", IF(K57&lt;C57, "Partially Repaid", "Repaid")))</f>
        <v/>
      </c>
      <c r="K57">
        <f>IF(C57="", "", C57-J57)</f>
        <v/>
      </c>
    </row>
    <row r="58">
      <c r="B58">
        <f>IF(A58="", "", IFERROR(VLOOKUP(A58, "Employee Master"!$A:$B, 2, FALSE), ""))</f>
        <v/>
      </c>
      <c r="E58">
        <f>IF(A58="", "", TODAY())</f>
        <v/>
      </c>
      <c r="F58">
        <f>IF(A58="", "", NOW())</f>
        <v/>
      </c>
      <c r="I58">
        <f>IF(K58="", "", IF(K58=0, "Repaid", IF(K58&lt;C58, "Partially Repaid", "Repaid")))</f>
        <v/>
      </c>
      <c r="K58">
        <f>IF(C58="", "", C58-J58)</f>
        <v/>
      </c>
    </row>
    <row r="59">
      <c r="B59">
        <f>IF(A59="", "", IFERROR(VLOOKUP(A59, "Employee Master"!$A:$B, 2, FALSE), ""))</f>
        <v/>
      </c>
      <c r="E59">
        <f>IF(A59="", "", TODAY())</f>
        <v/>
      </c>
      <c r="F59">
        <f>IF(A59="", "", NOW())</f>
        <v/>
      </c>
      <c r="I59">
        <f>IF(K59="", "", IF(K59=0, "Repaid", IF(K59&lt;C59, "Partially Repaid", "Repaid")))</f>
        <v/>
      </c>
      <c r="K59">
        <f>IF(C59="", "", C59-J59)</f>
        <v/>
      </c>
    </row>
    <row r="60">
      <c r="B60">
        <f>IF(A60="", "", IFERROR(VLOOKUP(A60, "Employee Master"!$A:$B, 2, FALSE), ""))</f>
        <v/>
      </c>
      <c r="E60">
        <f>IF(A60="", "", TODAY())</f>
        <v/>
      </c>
      <c r="F60">
        <f>IF(A60="", "", NOW())</f>
        <v/>
      </c>
      <c r="I60">
        <f>IF(K60="", "", IF(K60=0, "Repaid", IF(K60&lt;C60, "Partially Repaid", "Repaid")))</f>
        <v/>
      </c>
      <c r="K60">
        <f>IF(C60="", "", C60-J60)</f>
        <v/>
      </c>
    </row>
    <row r="61">
      <c r="B61">
        <f>IF(A61="", "", IFERROR(VLOOKUP(A61, "Employee Master"!$A:$B, 2, FALSE), ""))</f>
        <v/>
      </c>
      <c r="E61">
        <f>IF(A61="", "", TODAY())</f>
        <v/>
      </c>
      <c r="F61">
        <f>IF(A61="", "", NOW())</f>
        <v/>
      </c>
      <c r="I61">
        <f>IF(K61="", "", IF(K61=0, "Repaid", IF(K61&lt;C61, "Partially Repaid", "Repaid")))</f>
        <v/>
      </c>
      <c r="K61">
        <f>IF(C61="", "", C61-J61)</f>
        <v/>
      </c>
    </row>
    <row r="62">
      <c r="B62">
        <f>IF(A62="", "", IFERROR(VLOOKUP(A62, "Employee Master"!$A:$B, 2, FALSE), ""))</f>
        <v/>
      </c>
      <c r="E62">
        <f>IF(A62="", "", TODAY())</f>
        <v/>
      </c>
      <c r="F62">
        <f>IF(A62="", "", NOW())</f>
        <v/>
      </c>
      <c r="I62">
        <f>IF(K62="", "", IF(K62=0, "Repaid", IF(K62&lt;C62, "Partially Repaid", "Repaid")))</f>
        <v/>
      </c>
      <c r="K62">
        <f>IF(C62="", "", C62-J62)</f>
        <v/>
      </c>
    </row>
    <row r="63">
      <c r="B63">
        <f>IF(A63="", "", IFERROR(VLOOKUP(A63, "Employee Master"!$A:$B, 2, FALSE), ""))</f>
        <v/>
      </c>
      <c r="E63">
        <f>IF(A63="", "", TODAY())</f>
        <v/>
      </c>
      <c r="F63">
        <f>IF(A63="", "", NOW())</f>
        <v/>
      </c>
      <c r="I63">
        <f>IF(K63="", "", IF(K63=0, "Repaid", IF(K63&lt;C63, "Partially Repaid", "Repaid")))</f>
        <v/>
      </c>
      <c r="K63">
        <f>IF(C63="", "", C63-J63)</f>
        <v/>
      </c>
    </row>
    <row r="64">
      <c r="B64">
        <f>IF(A64="", "", IFERROR(VLOOKUP(A64, "Employee Master"!$A:$B, 2, FALSE), ""))</f>
        <v/>
      </c>
      <c r="E64">
        <f>IF(A64="", "", TODAY())</f>
        <v/>
      </c>
      <c r="F64">
        <f>IF(A64="", "", NOW())</f>
        <v/>
      </c>
      <c r="I64">
        <f>IF(K64="", "", IF(K64=0, "Repaid", IF(K64&lt;C64, "Partially Repaid", "Repaid")))</f>
        <v/>
      </c>
      <c r="K64">
        <f>IF(C64="", "", C64-J64)</f>
        <v/>
      </c>
    </row>
    <row r="65">
      <c r="B65">
        <f>IF(A65="", "", IFERROR(VLOOKUP(A65, "Employee Master"!$A:$B, 2, FALSE), ""))</f>
        <v/>
      </c>
      <c r="E65">
        <f>IF(A65="", "", TODAY())</f>
        <v/>
      </c>
      <c r="F65">
        <f>IF(A65="", "", NOW())</f>
        <v/>
      </c>
      <c r="I65">
        <f>IF(K65="", "", IF(K65=0, "Repaid", IF(K65&lt;C65, "Partially Repaid", "Repaid")))</f>
        <v/>
      </c>
      <c r="K65">
        <f>IF(C65="", "", C65-J65)</f>
        <v/>
      </c>
    </row>
    <row r="66">
      <c r="B66">
        <f>IF(A66="", "", IFERROR(VLOOKUP(A66, "Employee Master"!$A:$B, 2, FALSE), ""))</f>
        <v/>
      </c>
      <c r="E66">
        <f>IF(A66="", "", TODAY())</f>
        <v/>
      </c>
      <c r="F66">
        <f>IF(A66="", "", NOW())</f>
        <v/>
      </c>
      <c r="I66">
        <f>IF(K66="", "", IF(K66=0, "Repaid", IF(K66&lt;C66, "Partially Repaid", "Repaid")))</f>
        <v/>
      </c>
      <c r="K66">
        <f>IF(C66="", "", C66-J66)</f>
        <v/>
      </c>
    </row>
    <row r="67">
      <c r="B67">
        <f>IF(A67="", "", IFERROR(VLOOKUP(A67, "Employee Master"!$A:$B, 2, FALSE), ""))</f>
        <v/>
      </c>
      <c r="E67">
        <f>IF(A67="", "", TODAY())</f>
        <v/>
      </c>
      <c r="F67">
        <f>IF(A67="", "", NOW())</f>
        <v/>
      </c>
      <c r="I67">
        <f>IF(K67="", "", IF(K67=0, "Repaid", IF(K67&lt;C67, "Partially Repaid", "Repaid")))</f>
        <v/>
      </c>
      <c r="K67">
        <f>IF(C67="", "", C67-J67)</f>
        <v/>
      </c>
    </row>
    <row r="68">
      <c r="B68">
        <f>IF(A68="", "", IFERROR(VLOOKUP(A68, "Employee Master"!$A:$B, 2, FALSE), ""))</f>
        <v/>
      </c>
      <c r="E68">
        <f>IF(A68="", "", TODAY())</f>
        <v/>
      </c>
      <c r="F68">
        <f>IF(A68="", "", NOW())</f>
        <v/>
      </c>
      <c r="I68">
        <f>IF(K68="", "", IF(K68=0, "Repaid", IF(K68&lt;C68, "Partially Repaid", "Repaid")))</f>
        <v/>
      </c>
      <c r="K68">
        <f>IF(C68="", "", C68-J68)</f>
        <v/>
      </c>
    </row>
    <row r="69">
      <c r="B69">
        <f>IF(A69="", "", IFERROR(VLOOKUP(A69, "Employee Master"!$A:$B, 2, FALSE), ""))</f>
        <v/>
      </c>
      <c r="E69">
        <f>IF(A69="", "", TODAY())</f>
        <v/>
      </c>
      <c r="F69">
        <f>IF(A69="", "", NOW())</f>
        <v/>
      </c>
      <c r="I69">
        <f>IF(K69="", "", IF(K69=0, "Repaid", IF(K69&lt;C69, "Partially Repaid", "Repaid")))</f>
        <v/>
      </c>
      <c r="K69">
        <f>IF(C69="", "", C69-J69)</f>
        <v/>
      </c>
    </row>
    <row r="70">
      <c r="B70">
        <f>IF(A70="", "", IFERROR(VLOOKUP(A70, "Employee Master"!$A:$B, 2, FALSE), ""))</f>
        <v/>
      </c>
      <c r="E70">
        <f>IF(A70="", "", TODAY())</f>
        <v/>
      </c>
      <c r="F70">
        <f>IF(A70="", "", NOW())</f>
        <v/>
      </c>
      <c r="I70">
        <f>IF(K70="", "", IF(K70=0, "Repaid", IF(K70&lt;C70, "Partially Repaid", "Repaid")))</f>
        <v/>
      </c>
      <c r="K70">
        <f>IF(C70="", "", C70-J70)</f>
        <v/>
      </c>
    </row>
    <row r="71">
      <c r="B71">
        <f>IF(A71="", "", IFERROR(VLOOKUP(A71, "Employee Master"!$A:$B, 2, FALSE), ""))</f>
        <v/>
      </c>
      <c r="E71">
        <f>IF(A71="", "", TODAY())</f>
        <v/>
      </c>
      <c r="F71">
        <f>IF(A71="", "", NOW())</f>
        <v/>
      </c>
      <c r="I71">
        <f>IF(K71="", "", IF(K71=0, "Repaid", IF(K71&lt;C71, "Partially Repaid", "Repaid")))</f>
        <v/>
      </c>
      <c r="K71">
        <f>IF(C71="", "", C71-J71)</f>
        <v/>
      </c>
    </row>
    <row r="72">
      <c r="B72">
        <f>IF(A72="", "", IFERROR(VLOOKUP(A72, "Employee Master"!$A:$B, 2, FALSE), ""))</f>
        <v/>
      </c>
      <c r="E72">
        <f>IF(A72="", "", TODAY())</f>
        <v/>
      </c>
      <c r="F72">
        <f>IF(A72="", "", NOW())</f>
        <v/>
      </c>
      <c r="I72">
        <f>IF(K72="", "", IF(K72=0, "Repaid", IF(K72&lt;C72, "Partially Repaid", "Repaid")))</f>
        <v/>
      </c>
      <c r="K72">
        <f>IF(C72="", "", C72-J72)</f>
        <v/>
      </c>
    </row>
    <row r="73">
      <c r="B73">
        <f>IF(A73="", "", IFERROR(VLOOKUP(A73, "Employee Master"!$A:$B, 2, FALSE), ""))</f>
        <v/>
      </c>
      <c r="E73">
        <f>IF(A73="", "", TODAY())</f>
        <v/>
      </c>
      <c r="F73">
        <f>IF(A73="", "", NOW())</f>
        <v/>
      </c>
      <c r="I73">
        <f>IF(K73="", "", IF(K73=0, "Repaid", IF(K73&lt;C73, "Partially Repaid", "Repaid")))</f>
        <v/>
      </c>
      <c r="K73">
        <f>IF(C73="", "", C73-J73)</f>
        <v/>
      </c>
    </row>
    <row r="74">
      <c r="B74">
        <f>IF(A74="", "", IFERROR(VLOOKUP(A74, "Employee Master"!$A:$B, 2, FALSE), ""))</f>
        <v/>
      </c>
      <c r="E74">
        <f>IF(A74="", "", TODAY())</f>
        <v/>
      </c>
      <c r="F74">
        <f>IF(A74="", "", NOW())</f>
        <v/>
      </c>
      <c r="I74">
        <f>IF(K74="", "", IF(K74=0, "Repaid", IF(K74&lt;C74, "Partially Repaid", "Repaid")))</f>
        <v/>
      </c>
      <c r="K74">
        <f>IF(C74="", "", C74-J74)</f>
        <v/>
      </c>
    </row>
    <row r="75">
      <c r="B75">
        <f>IF(A75="", "", IFERROR(VLOOKUP(A75, "Employee Master"!$A:$B, 2, FALSE), ""))</f>
        <v/>
      </c>
      <c r="E75">
        <f>IF(A75="", "", TODAY())</f>
        <v/>
      </c>
      <c r="F75">
        <f>IF(A75="", "", NOW())</f>
        <v/>
      </c>
      <c r="I75">
        <f>IF(K75="", "", IF(K75=0, "Repaid", IF(K75&lt;C75, "Partially Repaid", "Repaid")))</f>
        <v/>
      </c>
      <c r="K75">
        <f>IF(C75="", "", C75-J75)</f>
        <v/>
      </c>
    </row>
    <row r="76">
      <c r="B76">
        <f>IF(A76="", "", IFERROR(VLOOKUP(A76, "Employee Master"!$A:$B, 2, FALSE), ""))</f>
        <v/>
      </c>
      <c r="E76">
        <f>IF(A76="", "", TODAY())</f>
        <v/>
      </c>
      <c r="F76">
        <f>IF(A76="", "", NOW())</f>
        <v/>
      </c>
      <c r="I76">
        <f>IF(K76="", "", IF(K76=0, "Repaid", IF(K76&lt;C76, "Partially Repaid", "Repaid")))</f>
        <v/>
      </c>
      <c r="K76">
        <f>IF(C76="", "", C76-J76)</f>
        <v/>
      </c>
    </row>
    <row r="77">
      <c r="B77">
        <f>IF(A77="", "", IFERROR(VLOOKUP(A77, "Employee Master"!$A:$B, 2, FALSE), ""))</f>
        <v/>
      </c>
      <c r="E77">
        <f>IF(A77="", "", TODAY())</f>
        <v/>
      </c>
      <c r="F77">
        <f>IF(A77="", "", NOW())</f>
        <v/>
      </c>
      <c r="I77">
        <f>IF(K77="", "", IF(K77=0, "Repaid", IF(K77&lt;C77, "Partially Repaid", "Repaid")))</f>
        <v/>
      </c>
      <c r="K77">
        <f>IF(C77="", "", C77-J77)</f>
        <v/>
      </c>
    </row>
    <row r="78">
      <c r="B78">
        <f>IF(A78="", "", IFERROR(VLOOKUP(A78, "Employee Master"!$A:$B, 2, FALSE), ""))</f>
        <v/>
      </c>
      <c r="E78">
        <f>IF(A78="", "", TODAY())</f>
        <v/>
      </c>
      <c r="F78">
        <f>IF(A78="", "", NOW())</f>
        <v/>
      </c>
      <c r="I78">
        <f>IF(K78="", "", IF(K78=0, "Repaid", IF(K78&lt;C78, "Partially Repaid", "Repaid")))</f>
        <v/>
      </c>
      <c r="K78">
        <f>IF(C78="", "", C78-J78)</f>
        <v/>
      </c>
    </row>
    <row r="79">
      <c r="B79">
        <f>IF(A79="", "", IFERROR(VLOOKUP(A79, "Employee Master"!$A:$B, 2, FALSE), ""))</f>
        <v/>
      </c>
      <c r="E79">
        <f>IF(A79="", "", TODAY())</f>
        <v/>
      </c>
      <c r="F79">
        <f>IF(A79="", "", NOW())</f>
        <v/>
      </c>
      <c r="I79">
        <f>IF(K79="", "", IF(K79=0, "Repaid", IF(K79&lt;C79, "Partially Repaid", "Repaid")))</f>
        <v/>
      </c>
      <c r="K79">
        <f>IF(C79="", "", C79-J79)</f>
        <v/>
      </c>
    </row>
    <row r="80">
      <c r="B80">
        <f>IF(A80="", "", IFERROR(VLOOKUP(A80, "Employee Master"!$A:$B, 2, FALSE), ""))</f>
        <v/>
      </c>
      <c r="E80">
        <f>IF(A80="", "", TODAY())</f>
        <v/>
      </c>
      <c r="F80">
        <f>IF(A80="", "", NOW())</f>
        <v/>
      </c>
      <c r="I80">
        <f>IF(K80="", "", IF(K80=0, "Repaid", IF(K80&lt;C80, "Partially Repaid", "Repaid")))</f>
        <v/>
      </c>
      <c r="K80">
        <f>IF(C80="", "", C80-J80)</f>
        <v/>
      </c>
    </row>
    <row r="81">
      <c r="B81">
        <f>IF(A81="", "", IFERROR(VLOOKUP(A81, "Employee Master"!$A:$B, 2, FALSE), ""))</f>
        <v/>
      </c>
      <c r="E81">
        <f>IF(A81="", "", TODAY())</f>
        <v/>
      </c>
      <c r="F81">
        <f>IF(A81="", "", NOW())</f>
        <v/>
      </c>
      <c r="I81">
        <f>IF(K81="", "", IF(K81=0, "Repaid", IF(K81&lt;C81, "Partially Repaid", "Repaid")))</f>
        <v/>
      </c>
      <c r="K81">
        <f>IF(C81="", "", C81-J81)</f>
        <v/>
      </c>
    </row>
    <row r="82">
      <c r="B82">
        <f>IF(A82="", "", IFERROR(VLOOKUP(A82, "Employee Master"!$A:$B, 2, FALSE), ""))</f>
        <v/>
      </c>
      <c r="E82">
        <f>IF(A82="", "", TODAY())</f>
        <v/>
      </c>
      <c r="F82">
        <f>IF(A82="", "", NOW())</f>
        <v/>
      </c>
      <c r="I82">
        <f>IF(K82="", "", IF(K82=0, "Repaid", IF(K82&lt;C82, "Partially Repaid", "Repaid")))</f>
        <v/>
      </c>
      <c r="K82">
        <f>IF(C82="", "", C82-J82)</f>
        <v/>
      </c>
    </row>
    <row r="83">
      <c r="B83">
        <f>IF(A83="", "", IFERROR(VLOOKUP(A83, "Employee Master"!$A:$B, 2, FALSE), ""))</f>
        <v/>
      </c>
      <c r="E83">
        <f>IF(A83="", "", TODAY())</f>
        <v/>
      </c>
      <c r="F83">
        <f>IF(A83="", "", NOW())</f>
        <v/>
      </c>
      <c r="I83">
        <f>IF(K83="", "", IF(K83=0, "Repaid", IF(K83&lt;C83, "Partially Repaid", "Repaid")))</f>
        <v/>
      </c>
      <c r="K83">
        <f>IF(C83="", "", C83-J83)</f>
        <v/>
      </c>
    </row>
    <row r="84">
      <c r="B84">
        <f>IF(A84="", "", IFERROR(VLOOKUP(A84, "Employee Master"!$A:$B, 2, FALSE), ""))</f>
        <v/>
      </c>
      <c r="E84">
        <f>IF(A84="", "", TODAY())</f>
        <v/>
      </c>
      <c r="F84">
        <f>IF(A84="", "", NOW())</f>
        <v/>
      </c>
      <c r="I84">
        <f>IF(K84="", "", IF(K84=0, "Repaid", IF(K84&lt;C84, "Partially Repaid", "Repaid")))</f>
        <v/>
      </c>
      <c r="K84">
        <f>IF(C84="", "", C84-J84)</f>
        <v/>
      </c>
    </row>
    <row r="85">
      <c r="B85">
        <f>IF(A85="", "", IFERROR(VLOOKUP(A85, "Employee Master"!$A:$B, 2, FALSE), ""))</f>
        <v/>
      </c>
      <c r="E85">
        <f>IF(A85="", "", TODAY())</f>
        <v/>
      </c>
      <c r="F85">
        <f>IF(A85="", "", NOW())</f>
        <v/>
      </c>
      <c r="I85">
        <f>IF(K85="", "", IF(K85=0, "Repaid", IF(K85&lt;C85, "Partially Repaid", "Repaid")))</f>
        <v/>
      </c>
      <c r="K85">
        <f>IF(C85="", "", C85-J85)</f>
        <v/>
      </c>
    </row>
    <row r="86">
      <c r="B86">
        <f>IF(A86="", "", IFERROR(VLOOKUP(A86, "Employee Master"!$A:$B, 2, FALSE), ""))</f>
        <v/>
      </c>
      <c r="E86">
        <f>IF(A86="", "", TODAY())</f>
        <v/>
      </c>
      <c r="F86">
        <f>IF(A86="", "", NOW())</f>
        <v/>
      </c>
      <c r="I86">
        <f>IF(K86="", "", IF(K86=0, "Repaid", IF(K86&lt;C86, "Partially Repaid", "Repaid")))</f>
        <v/>
      </c>
      <c r="K86">
        <f>IF(C86="", "", C86-J86)</f>
        <v/>
      </c>
    </row>
    <row r="87">
      <c r="B87">
        <f>IF(A87="", "", IFERROR(VLOOKUP(A87, "Employee Master"!$A:$B, 2, FALSE), ""))</f>
        <v/>
      </c>
      <c r="E87">
        <f>IF(A87="", "", TODAY())</f>
        <v/>
      </c>
      <c r="F87">
        <f>IF(A87="", "", NOW())</f>
        <v/>
      </c>
      <c r="I87">
        <f>IF(K87="", "", IF(K87=0, "Repaid", IF(K87&lt;C87, "Partially Repaid", "Repaid")))</f>
        <v/>
      </c>
      <c r="K87">
        <f>IF(C87="", "", C87-J87)</f>
        <v/>
      </c>
    </row>
    <row r="88">
      <c r="B88">
        <f>IF(A88="", "", IFERROR(VLOOKUP(A88, "Employee Master"!$A:$B, 2, FALSE), ""))</f>
        <v/>
      </c>
      <c r="E88">
        <f>IF(A88="", "", TODAY())</f>
        <v/>
      </c>
      <c r="F88">
        <f>IF(A88="", "", NOW())</f>
        <v/>
      </c>
      <c r="I88">
        <f>IF(K88="", "", IF(K88=0, "Repaid", IF(K88&lt;C88, "Partially Repaid", "Repaid")))</f>
        <v/>
      </c>
      <c r="K88">
        <f>IF(C88="", "", C88-J88)</f>
        <v/>
      </c>
    </row>
    <row r="89">
      <c r="B89">
        <f>IF(A89="", "", IFERROR(VLOOKUP(A89, "Employee Master"!$A:$B, 2, FALSE), ""))</f>
        <v/>
      </c>
      <c r="E89">
        <f>IF(A89="", "", TODAY())</f>
        <v/>
      </c>
      <c r="F89">
        <f>IF(A89="", "", NOW())</f>
        <v/>
      </c>
      <c r="I89">
        <f>IF(K89="", "", IF(K89=0, "Repaid", IF(K89&lt;C89, "Partially Repaid", "Repaid")))</f>
        <v/>
      </c>
      <c r="K89">
        <f>IF(C89="", "", C89-J89)</f>
        <v/>
      </c>
    </row>
    <row r="90">
      <c r="B90">
        <f>IF(A90="", "", IFERROR(VLOOKUP(A90, "Employee Master"!$A:$B, 2, FALSE), ""))</f>
        <v/>
      </c>
      <c r="E90">
        <f>IF(A90="", "", TODAY())</f>
        <v/>
      </c>
      <c r="F90">
        <f>IF(A90="", "", NOW())</f>
        <v/>
      </c>
      <c r="I90">
        <f>IF(K90="", "", IF(K90=0, "Repaid", IF(K90&lt;C90, "Partially Repaid", "Repaid")))</f>
        <v/>
      </c>
      <c r="K90">
        <f>IF(C90="", "", C90-J90)</f>
        <v/>
      </c>
    </row>
    <row r="91">
      <c r="B91">
        <f>IF(A91="", "", IFERROR(VLOOKUP(A91, "Employee Master"!$A:$B, 2, FALSE), ""))</f>
        <v/>
      </c>
      <c r="E91">
        <f>IF(A91="", "", TODAY())</f>
        <v/>
      </c>
      <c r="F91">
        <f>IF(A91="", "", NOW())</f>
        <v/>
      </c>
      <c r="I91">
        <f>IF(K91="", "", IF(K91=0, "Repaid", IF(K91&lt;C91, "Partially Repaid", "Repaid")))</f>
        <v/>
      </c>
      <c r="K91">
        <f>IF(C91="", "", C91-J91)</f>
        <v/>
      </c>
    </row>
    <row r="92">
      <c r="B92">
        <f>IF(A92="", "", IFERROR(VLOOKUP(A92, "Employee Master"!$A:$B, 2, FALSE), ""))</f>
        <v/>
      </c>
      <c r="E92">
        <f>IF(A92="", "", TODAY())</f>
        <v/>
      </c>
      <c r="F92">
        <f>IF(A92="", "", NOW())</f>
        <v/>
      </c>
      <c r="I92">
        <f>IF(K92="", "", IF(K92=0, "Repaid", IF(K92&lt;C92, "Partially Repaid", "Repaid")))</f>
        <v/>
      </c>
      <c r="K92">
        <f>IF(C92="", "", C92-J92)</f>
        <v/>
      </c>
    </row>
    <row r="93">
      <c r="B93">
        <f>IF(A93="", "", IFERROR(VLOOKUP(A93, "Employee Master"!$A:$B, 2, FALSE), ""))</f>
        <v/>
      </c>
      <c r="E93">
        <f>IF(A93="", "", TODAY())</f>
        <v/>
      </c>
      <c r="F93">
        <f>IF(A93="", "", NOW())</f>
        <v/>
      </c>
      <c r="I93">
        <f>IF(K93="", "", IF(K93=0, "Repaid", IF(K93&lt;C93, "Partially Repaid", "Repaid")))</f>
        <v/>
      </c>
      <c r="K93">
        <f>IF(C93="", "", C93-J93)</f>
        <v/>
      </c>
    </row>
    <row r="94">
      <c r="B94">
        <f>IF(A94="", "", IFERROR(VLOOKUP(A94, "Employee Master"!$A:$B, 2, FALSE), ""))</f>
        <v/>
      </c>
      <c r="E94">
        <f>IF(A94="", "", TODAY())</f>
        <v/>
      </c>
      <c r="F94">
        <f>IF(A94="", "", NOW())</f>
        <v/>
      </c>
      <c r="I94">
        <f>IF(K94="", "", IF(K94=0, "Repaid", IF(K94&lt;C94, "Partially Repaid", "Repaid")))</f>
        <v/>
      </c>
      <c r="K94">
        <f>IF(C94="", "", C94-J94)</f>
        <v/>
      </c>
    </row>
    <row r="95">
      <c r="B95">
        <f>IF(A95="", "", IFERROR(VLOOKUP(A95, "Employee Master"!$A:$B, 2, FALSE), ""))</f>
        <v/>
      </c>
      <c r="E95">
        <f>IF(A95="", "", TODAY())</f>
        <v/>
      </c>
      <c r="F95">
        <f>IF(A95="", "", NOW())</f>
        <v/>
      </c>
      <c r="I95">
        <f>IF(K95="", "", IF(K95=0, "Repaid", IF(K95&lt;C95, "Partially Repaid", "Repaid")))</f>
        <v/>
      </c>
      <c r="K95">
        <f>IF(C95="", "", C95-J95)</f>
        <v/>
      </c>
    </row>
    <row r="96">
      <c r="B96">
        <f>IF(A96="", "", IFERROR(VLOOKUP(A96, "Employee Master"!$A:$B, 2, FALSE), ""))</f>
        <v/>
      </c>
      <c r="E96">
        <f>IF(A96="", "", TODAY())</f>
        <v/>
      </c>
      <c r="F96">
        <f>IF(A96="", "", NOW())</f>
        <v/>
      </c>
      <c r="I96">
        <f>IF(K96="", "", IF(K96=0, "Repaid", IF(K96&lt;C96, "Partially Repaid", "Repaid")))</f>
        <v/>
      </c>
      <c r="K96">
        <f>IF(C96="", "", C96-J96)</f>
        <v/>
      </c>
    </row>
    <row r="97">
      <c r="B97">
        <f>IF(A97="", "", IFERROR(VLOOKUP(A97, "Employee Master"!$A:$B, 2, FALSE), ""))</f>
        <v/>
      </c>
      <c r="E97">
        <f>IF(A97="", "", TODAY())</f>
        <v/>
      </c>
      <c r="F97">
        <f>IF(A97="", "", NOW())</f>
        <v/>
      </c>
      <c r="I97">
        <f>IF(K97="", "", IF(K97=0, "Repaid", IF(K97&lt;C97, "Partially Repaid", "Repaid")))</f>
        <v/>
      </c>
      <c r="K97">
        <f>IF(C97="", "", C97-J97)</f>
        <v/>
      </c>
    </row>
    <row r="98">
      <c r="B98">
        <f>IF(A98="", "", IFERROR(VLOOKUP(A98, "Employee Master"!$A:$B, 2, FALSE), ""))</f>
        <v/>
      </c>
      <c r="E98">
        <f>IF(A98="", "", TODAY())</f>
        <v/>
      </c>
      <c r="F98">
        <f>IF(A98="", "", NOW())</f>
        <v/>
      </c>
      <c r="I98">
        <f>IF(K98="", "", IF(K98=0, "Repaid", IF(K98&lt;C98, "Partially Repaid", "Repaid")))</f>
        <v/>
      </c>
      <c r="K98">
        <f>IF(C98="", "", C98-J98)</f>
        <v/>
      </c>
    </row>
    <row r="99">
      <c r="B99">
        <f>IF(A99="", "", IFERROR(VLOOKUP(A99, "Employee Master"!$A:$B, 2, FALSE), ""))</f>
        <v/>
      </c>
      <c r="E99">
        <f>IF(A99="", "", TODAY())</f>
        <v/>
      </c>
      <c r="F99">
        <f>IF(A99="", "", NOW())</f>
        <v/>
      </c>
      <c r="I99">
        <f>IF(K99="", "", IF(K99=0, "Repaid", IF(K99&lt;C99, "Partially Repaid", "Repaid")))</f>
        <v/>
      </c>
      <c r="K99">
        <f>IF(C99="", "", C99-J99)</f>
        <v/>
      </c>
    </row>
    <row r="100">
      <c r="B100">
        <f>IF(A100="", "", IFERROR(VLOOKUP(A100, "Employee Master"!$A:$B, 2, FALSE), ""))</f>
        <v/>
      </c>
      <c r="E100">
        <f>IF(A100="", "", TODAY())</f>
        <v/>
      </c>
      <c r="F100">
        <f>IF(A100="", "", NOW())</f>
        <v/>
      </c>
      <c r="I100">
        <f>IF(K100="", "", IF(K100=0, "Repaid", IF(K100&lt;C100, "Partially Repaid", "Repaid")))</f>
        <v/>
      </c>
      <c r="K100">
        <f>IF(C100="", "", C100-J100)</f>
        <v/>
      </c>
    </row>
    <row r="101">
      <c r="B101">
        <f>IF(A101="", "", IFERROR(VLOOKUP(A101, "Employee Master"!$A:$B, 2, FALSE), ""))</f>
        <v/>
      </c>
      <c r="E101">
        <f>IF(A101="", "", TODAY())</f>
        <v/>
      </c>
      <c r="F101">
        <f>IF(A101="", "", NOW())</f>
        <v/>
      </c>
      <c r="I101">
        <f>IF(K101="", "", IF(K101=0, "Repaid", IF(K101&lt;C101, "Partially Repaid", "Repaid")))</f>
        <v/>
      </c>
      <c r="K101">
        <f>IF(C101="", "", C101-J101)</f>
        <v/>
      </c>
    </row>
    <row r="102">
      <c r="B102">
        <f>IF(A102="", "", IFERROR(VLOOKUP(A102, "Employee Master"!$A:$B, 2, FALSE), ""))</f>
        <v/>
      </c>
      <c r="E102">
        <f>IF(A102="", "", TODAY())</f>
        <v/>
      </c>
      <c r="F102">
        <f>IF(A102="", "", NOW())</f>
        <v/>
      </c>
      <c r="I102">
        <f>IF(K102="", "", IF(K102=0, "Repaid", IF(K102&lt;C102, "Partially Repaid", "Repaid")))</f>
        <v/>
      </c>
      <c r="K102">
        <f>IF(C102="", "", C102-J102)</f>
        <v/>
      </c>
    </row>
    <row r="103">
      <c r="B103">
        <f>IF(A103="", "", IFERROR(VLOOKUP(A103, "Employee Master"!$A:$B, 2, FALSE), ""))</f>
        <v/>
      </c>
      <c r="E103">
        <f>IF(A103="", "", TODAY())</f>
        <v/>
      </c>
      <c r="F103">
        <f>IF(A103="", "", NOW())</f>
        <v/>
      </c>
      <c r="I103">
        <f>IF(K103="", "", IF(K103=0, "Repaid", IF(K103&lt;C103, "Partially Repaid", "Repaid")))</f>
        <v/>
      </c>
      <c r="K103">
        <f>IF(C103="", "", C103-J103)</f>
        <v/>
      </c>
    </row>
    <row r="104">
      <c r="B104">
        <f>IF(A104="", "", IFERROR(VLOOKUP(A104, "Employee Master"!$A:$B, 2, FALSE), ""))</f>
        <v/>
      </c>
      <c r="E104">
        <f>IF(A104="", "", TODAY())</f>
        <v/>
      </c>
      <c r="F104">
        <f>IF(A104="", "", NOW())</f>
        <v/>
      </c>
      <c r="I104">
        <f>IF(K104="", "", IF(K104=0, "Repaid", IF(K104&lt;C104, "Partially Repaid", "Repaid")))</f>
        <v/>
      </c>
      <c r="K104">
        <f>IF(C104="", "", C104-J104)</f>
        <v/>
      </c>
    </row>
    <row r="105">
      <c r="B105">
        <f>IF(A105="", "", IFERROR(VLOOKUP(A105, "Employee Master"!$A:$B, 2, FALSE), ""))</f>
        <v/>
      </c>
      <c r="E105">
        <f>IF(A105="", "", TODAY())</f>
        <v/>
      </c>
      <c r="F105">
        <f>IF(A105="", "", NOW())</f>
        <v/>
      </c>
      <c r="I105">
        <f>IF(K105="", "", IF(K105=0, "Repaid", IF(K105&lt;C105, "Partially Repaid", "Repaid")))</f>
        <v/>
      </c>
      <c r="K105">
        <f>IF(C105="", "", C105-J105)</f>
        <v/>
      </c>
    </row>
    <row r="106">
      <c r="B106">
        <f>IF(A106="", "", IFERROR(VLOOKUP(A106, "Employee Master"!$A:$B, 2, FALSE), ""))</f>
        <v/>
      </c>
      <c r="E106">
        <f>IF(A106="", "", TODAY())</f>
        <v/>
      </c>
      <c r="F106">
        <f>IF(A106="", "", NOW())</f>
        <v/>
      </c>
      <c r="I106">
        <f>IF(K106="", "", IF(K106=0, "Repaid", IF(K106&lt;C106, "Partially Repaid", "Repaid")))</f>
        <v/>
      </c>
      <c r="K106">
        <f>IF(C106="", "", C106-J106)</f>
        <v/>
      </c>
    </row>
    <row r="107">
      <c r="B107">
        <f>IF(A107="", "", IFERROR(VLOOKUP(A107, "Employee Master"!$A:$B, 2, FALSE), ""))</f>
        <v/>
      </c>
      <c r="E107">
        <f>IF(A107="", "", TODAY())</f>
        <v/>
      </c>
      <c r="F107">
        <f>IF(A107="", "", NOW())</f>
        <v/>
      </c>
      <c r="I107">
        <f>IF(K107="", "", IF(K107=0, "Repaid", IF(K107&lt;C107, "Partially Repaid", "Repaid")))</f>
        <v/>
      </c>
      <c r="K107">
        <f>IF(C107="", "", C107-J107)</f>
        <v/>
      </c>
    </row>
    <row r="108">
      <c r="B108">
        <f>IF(A108="", "", IFERROR(VLOOKUP(A108, "Employee Master"!$A:$B, 2, FALSE), ""))</f>
        <v/>
      </c>
      <c r="E108">
        <f>IF(A108="", "", TODAY())</f>
        <v/>
      </c>
      <c r="F108">
        <f>IF(A108="", "", NOW())</f>
        <v/>
      </c>
      <c r="I108">
        <f>IF(K108="", "", IF(K108=0, "Repaid", IF(K108&lt;C108, "Partially Repaid", "Repaid")))</f>
        <v/>
      </c>
      <c r="K108">
        <f>IF(C108="", "", C108-J108)</f>
        <v/>
      </c>
    </row>
    <row r="109">
      <c r="B109">
        <f>IF(A109="", "", IFERROR(VLOOKUP(A109, "Employee Master"!$A:$B, 2, FALSE), ""))</f>
        <v/>
      </c>
      <c r="E109">
        <f>IF(A109="", "", TODAY())</f>
        <v/>
      </c>
      <c r="F109">
        <f>IF(A109="", "", NOW())</f>
        <v/>
      </c>
      <c r="I109">
        <f>IF(K109="", "", IF(K109=0, "Repaid", IF(K109&lt;C109, "Partially Repaid", "Repaid")))</f>
        <v/>
      </c>
      <c r="K109">
        <f>IF(C109="", "", C109-J109)</f>
        <v/>
      </c>
    </row>
    <row r="110">
      <c r="B110">
        <f>IF(A110="", "", IFERROR(VLOOKUP(A110, "Employee Master"!$A:$B, 2, FALSE), ""))</f>
        <v/>
      </c>
      <c r="E110">
        <f>IF(A110="", "", TODAY())</f>
        <v/>
      </c>
      <c r="F110">
        <f>IF(A110="", "", NOW())</f>
        <v/>
      </c>
      <c r="I110">
        <f>IF(K110="", "", IF(K110=0, "Repaid", IF(K110&lt;C110, "Partially Repaid", "Repaid")))</f>
        <v/>
      </c>
      <c r="K110">
        <f>IF(C110="", "", C110-J110)</f>
        <v/>
      </c>
    </row>
    <row r="111">
      <c r="B111">
        <f>IF(A111="", "", IFERROR(VLOOKUP(A111, "Employee Master"!$A:$B, 2, FALSE), ""))</f>
        <v/>
      </c>
      <c r="E111">
        <f>IF(A111="", "", TODAY())</f>
        <v/>
      </c>
      <c r="F111">
        <f>IF(A111="", "", NOW())</f>
        <v/>
      </c>
      <c r="I111">
        <f>IF(K111="", "", IF(K111=0, "Repaid", IF(K111&lt;C111, "Partially Repaid", "Repaid")))</f>
        <v/>
      </c>
      <c r="K111">
        <f>IF(C111="", "", C111-J111)</f>
        <v/>
      </c>
    </row>
    <row r="112">
      <c r="B112">
        <f>IF(A112="", "", IFERROR(VLOOKUP(A112, "Employee Master"!$A:$B, 2, FALSE), ""))</f>
        <v/>
      </c>
      <c r="E112">
        <f>IF(A112="", "", TODAY())</f>
        <v/>
      </c>
      <c r="F112">
        <f>IF(A112="", "", NOW())</f>
        <v/>
      </c>
      <c r="I112">
        <f>IF(K112="", "", IF(K112=0, "Repaid", IF(K112&lt;C112, "Partially Repaid", "Repaid")))</f>
        <v/>
      </c>
      <c r="K112">
        <f>IF(C112="", "", C112-J112)</f>
        <v/>
      </c>
    </row>
    <row r="113">
      <c r="B113">
        <f>IF(A113="", "", IFERROR(VLOOKUP(A113, "Employee Master"!$A:$B, 2, FALSE), ""))</f>
        <v/>
      </c>
      <c r="E113">
        <f>IF(A113="", "", TODAY())</f>
        <v/>
      </c>
      <c r="F113">
        <f>IF(A113="", "", NOW())</f>
        <v/>
      </c>
      <c r="I113">
        <f>IF(K113="", "", IF(K113=0, "Repaid", IF(K113&lt;C113, "Partially Repaid", "Repaid")))</f>
        <v/>
      </c>
      <c r="K113">
        <f>IF(C113="", "", C113-J113)</f>
        <v/>
      </c>
    </row>
    <row r="114">
      <c r="B114">
        <f>IF(A114="", "", IFERROR(VLOOKUP(A114, "Employee Master"!$A:$B, 2, FALSE), ""))</f>
        <v/>
      </c>
      <c r="E114">
        <f>IF(A114="", "", TODAY())</f>
        <v/>
      </c>
      <c r="F114">
        <f>IF(A114="", "", NOW())</f>
        <v/>
      </c>
      <c r="I114">
        <f>IF(K114="", "", IF(K114=0, "Repaid", IF(K114&lt;C114, "Partially Repaid", "Repaid")))</f>
        <v/>
      </c>
      <c r="K114">
        <f>IF(C114="", "", C114-J114)</f>
        <v/>
      </c>
    </row>
    <row r="115">
      <c r="B115">
        <f>IF(A115="", "", IFERROR(VLOOKUP(A115, "Employee Master"!$A:$B, 2, FALSE), ""))</f>
        <v/>
      </c>
      <c r="E115">
        <f>IF(A115="", "", TODAY())</f>
        <v/>
      </c>
      <c r="F115">
        <f>IF(A115="", "", NOW())</f>
        <v/>
      </c>
      <c r="I115">
        <f>IF(K115="", "", IF(K115=0, "Repaid", IF(K115&lt;C115, "Partially Repaid", "Repaid")))</f>
        <v/>
      </c>
      <c r="K115">
        <f>IF(C115="", "", C115-J115)</f>
        <v/>
      </c>
    </row>
    <row r="116">
      <c r="B116">
        <f>IF(A116="", "", IFERROR(VLOOKUP(A116, "Employee Master"!$A:$B, 2, FALSE), ""))</f>
        <v/>
      </c>
      <c r="E116">
        <f>IF(A116="", "", TODAY())</f>
        <v/>
      </c>
      <c r="F116">
        <f>IF(A116="", "", NOW())</f>
        <v/>
      </c>
      <c r="I116">
        <f>IF(K116="", "", IF(K116=0, "Repaid", IF(K116&lt;C116, "Partially Repaid", "Repaid")))</f>
        <v/>
      </c>
      <c r="K116">
        <f>IF(C116="", "", C116-J116)</f>
        <v/>
      </c>
    </row>
    <row r="117">
      <c r="B117">
        <f>IF(A117="", "", IFERROR(VLOOKUP(A117, "Employee Master"!$A:$B, 2, FALSE), ""))</f>
        <v/>
      </c>
      <c r="E117">
        <f>IF(A117="", "", TODAY())</f>
        <v/>
      </c>
      <c r="F117">
        <f>IF(A117="", "", NOW())</f>
        <v/>
      </c>
      <c r="I117">
        <f>IF(K117="", "", IF(K117=0, "Repaid", IF(K117&lt;C117, "Partially Repaid", "Repaid")))</f>
        <v/>
      </c>
      <c r="K117">
        <f>IF(C117="", "", C117-J117)</f>
        <v/>
      </c>
    </row>
    <row r="118">
      <c r="B118">
        <f>IF(A118="", "", IFERROR(VLOOKUP(A118, "Employee Master"!$A:$B, 2, FALSE), ""))</f>
        <v/>
      </c>
      <c r="E118">
        <f>IF(A118="", "", TODAY())</f>
        <v/>
      </c>
      <c r="F118">
        <f>IF(A118="", "", NOW())</f>
        <v/>
      </c>
      <c r="I118">
        <f>IF(K118="", "", IF(K118=0, "Repaid", IF(K118&lt;C118, "Partially Repaid", "Repaid")))</f>
        <v/>
      </c>
      <c r="K118">
        <f>IF(C118="", "", C118-J118)</f>
        <v/>
      </c>
    </row>
    <row r="119">
      <c r="B119">
        <f>IF(A119="", "", IFERROR(VLOOKUP(A119, "Employee Master"!$A:$B, 2, FALSE), ""))</f>
        <v/>
      </c>
      <c r="E119">
        <f>IF(A119="", "", TODAY())</f>
        <v/>
      </c>
      <c r="F119">
        <f>IF(A119="", "", NOW())</f>
        <v/>
      </c>
      <c r="I119">
        <f>IF(K119="", "", IF(K119=0, "Repaid", IF(K119&lt;C119, "Partially Repaid", "Repaid")))</f>
        <v/>
      </c>
      <c r="K119">
        <f>IF(C119="", "", C119-J119)</f>
        <v/>
      </c>
    </row>
    <row r="120">
      <c r="B120">
        <f>IF(A120="", "", IFERROR(VLOOKUP(A120, "Employee Master"!$A:$B, 2, FALSE), ""))</f>
        <v/>
      </c>
      <c r="E120">
        <f>IF(A120="", "", TODAY())</f>
        <v/>
      </c>
      <c r="F120">
        <f>IF(A120="", "", NOW())</f>
        <v/>
      </c>
      <c r="I120">
        <f>IF(K120="", "", IF(K120=0, "Repaid", IF(K120&lt;C120, "Partially Repaid", "Repaid")))</f>
        <v/>
      </c>
      <c r="K120">
        <f>IF(C120="", "", C120-J120)</f>
        <v/>
      </c>
    </row>
    <row r="121">
      <c r="B121">
        <f>IF(A121="", "", IFERROR(VLOOKUP(A121, "Employee Master"!$A:$B, 2, FALSE), ""))</f>
        <v/>
      </c>
      <c r="E121">
        <f>IF(A121="", "", TODAY())</f>
        <v/>
      </c>
      <c r="F121">
        <f>IF(A121="", "", NOW())</f>
        <v/>
      </c>
      <c r="I121">
        <f>IF(K121="", "", IF(K121=0, "Repaid", IF(K121&lt;C121, "Partially Repaid", "Repaid")))</f>
        <v/>
      </c>
      <c r="K121">
        <f>IF(C121="", "", C121-J121)</f>
        <v/>
      </c>
    </row>
    <row r="122">
      <c r="B122">
        <f>IF(A122="", "", IFERROR(VLOOKUP(A122, "Employee Master"!$A:$B, 2, FALSE), ""))</f>
        <v/>
      </c>
      <c r="E122">
        <f>IF(A122="", "", TODAY())</f>
        <v/>
      </c>
      <c r="F122">
        <f>IF(A122="", "", NOW())</f>
        <v/>
      </c>
      <c r="I122">
        <f>IF(K122="", "", IF(K122=0, "Repaid", IF(K122&lt;C122, "Partially Repaid", "Repaid")))</f>
        <v/>
      </c>
      <c r="K122">
        <f>IF(C122="", "", C122-J122)</f>
        <v/>
      </c>
    </row>
    <row r="123">
      <c r="B123">
        <f>IF(A123="", "", IFERROR(VLOOKUP(A123, "Employee Master"!$A:$B, 2, FALSE), ""))</f>
        <v/>
      </c>
      <c r="E123">
        <f>IF(A123="", "", TODAY())</f>
        <v/>
      </c>
      <c r="F123">
        <f>IF(A123="", "", NOW())</f>
        <v/>
      </c>
      <c r="I123">
        <f>IF(K123="", "", IF(K123=0, "Repaid", IF(K123&lt;C123, "Partially Repaid", "Repaid")))</f>
        <v/>
      </c>
      <c r="K123">
        <f>IF(C123="", "", C123-J123)</f>
        <v/>
      </c>
    </row>
    <row r="124">
      <c r="B124">
        <f>IF(A124="", "", IFERROR(VLOOKUP(A124, "Employee Master"!$A:$B, 2, FALSE), ""))</f>
        <v/>
      </c>
      <c r="E124">
        <f>IF(A124="", "", TODAY())</f>
        <v/>
      </c>
      <c r="F124">
        <f>IF(A124="", "", NOW())</f>
        <v/>
      </c>
      <c r="I124">
        <f>IF(K124="", "", IF(K124=0, "Repaid", IF(K124&lt;C124, "Partially Repaid", "Repaid")))</f>
        <v/>
      </c>
      <c r="K124">
        <f>IF(C124="", "", C124-J124)</f>
        <v/>
      </c>
    </row>
    <row r="125">
      <c r="B125">
        <f>IF(A125="", "", IFERROR(VLOOKUP(A125, "Employee Master"!$A:$B, 2, FALSE), ""))</f>
        <v/>
      </c>
      <c r="E125">
        <f>IF(A125="", "", TODAY())</f>
        <v/>
      </c>
      <c r="F125">
        <f>IF(A125="", "", NOW())</f>
        <v/>
      </c>
      <c r="I125">
        <f>IF(K125="", "", IF(K125=0, "Repaid", IF(K125&lt;C125, "Partially Repaid", "Repaid")))</f>
        <v/>
      </c>
      <c r="K125">
        <f>IF(C125="", "", C125-J125)</f>
        <v/>
      </c>
    </row>
    <row r="126">
      <c r="B126">
        <f>IF(A126="", "", IFERROR(VLOOKUP(A126, "Employee Master"!$A:$B, 2, FALSE), ""))</f>
        <v/>
      </c>
      <c r="E126">
        <f>IF(A126="", "", TODAY())</f>
        <v/>
      </c>
      <c r="F126">
        <f>IF(A126="", "", NOW())</f>
        <v/>
      </c>
      <c r="I126">
        <f>IF(K126="", "", IF(K126=0, "Repaid", IF(K126&lt;C126, "Partially Repaid", "Repaid")))</f>
        <v/>
      </c>
      <c r="K126">
        <f>IF(C126="", "", C126-J126)</f>
        <v/>
      </c>
    </row>
    <row r="127">
      <c r="B127">
        <f>IF(A127="", "", IFERROR(VLOOKUP(A127, "Employee Master"!$A:$B, 2, FALSE), ""))</f>
        <v/>
      </c>
      <c r="E127">
        <f>IF(A127="", "", TODAY())</f>
        <v/>
      </c>
      <c r="F127">
        <f>IF(A127="", "", NOW())</f>
        <v/>
      </c>
      <c r="I127">
        <f>IF(K127="", "", IF(K127=0, "Repaid", IF(K127&lt;C127, "Partially Repaid", "Repaid")))</f>
        <v/>
      </c>
      <c r="K127">
        <f>IF(C127="", "", C127-J127)</f>
        <v/>
      </c>
    </row>
    <row r="128">
      <c r="B128">
        <f>IF(A128="", "", IFERROR(VLOOKUP(A128, "Employee Master"!$A:$B, 2, FALSE), ""))</f>
        <v/>
      </c>
      <c r="E128">
        <f>IF(A128="", "", TODAY())</f>
        <v/>
      </c>
      <c r="F128">
        <f>IF(A128="", "", NOW())</f>
        <v/>
      </c>
      <c r="I128">
        <f>IF(K128="", "", IF(K128=0, "Repaid", IF(K128&lt;C128, "Partially Repaid", "Repaid")))</f>
        <v/>
      </c>
      <c r="K128">
        <f>IF(C128="", "", C128-J128)</f>
        <v/>
      </c>
    </row>
    <row r="129">
      <c r="B129">
        <f>IF(A129="", "", IFERROR(VLOOKUP(A129, "Employee Master"!$A:$B, 2, FALSE), ""))</f>
        <v/>
      </c>
      <c r="E129">
        <f>IF(A129="", "", TODAY())</f>
        <v/>
      </c>
      <c r="F129">
        <f>IF(A129="", "", NOW())</f>
        <v/>
      </c>
      <c r="I129">
        <f>IF(K129="", "", IF(K129=0, "Repaid", IF(K129&lt;C129, "Partially Repaid", "Repaid")))</f>
        <v/>
      </c>
      <c r="K129">
        <f>IF(C129="", "", C129-J129)</f>
        <v/>
      </c>
    </row>
    <row r="130">
      <c r="B130">
        <f>IF(A130="", "", IFERROR(VLOOKUP(A130, "Employee Master"!$A:$B, 2, FALSE), ""))</f>
        <v/>
      </c>
      <c r="E130">
        <f>IF(A130="", "", TODAY())</f>
        <v/>
      </c>
      <c r="F130">
        <f>IF(A130="", "", NOW())</f>
        <v/>
      </c>
      <c r="I130">
        <f>IF(K130="", "", IF(K130=0, "Repaid", IF(K130&lt;C130, "Partially Repaid", "Repaid")))</f>
        <v/>
      </c>
      <c r="K130">
        <f>IF(C130="", "", C130-J130)</f>
        <v/>
      </c>
    </row>
    <row r="131">
      <c r="B131">
        <f>IF(A131="", "", IFERROR(VLOOKUP(A131, "Employee Master"!$A:$B, 2, FALSE), ""))</f>
        <v/>
      </c>
      <c r="E131">
        <f>IF(A131="", "", TODAY())</f>
        <v/>
      </c>
      <c r="F131">
        <f>IF(A131="", "", NOW())</f>
        <v/>
      </c>
      <c r="I131">
        <f>IF(K131="", "", IF(K131=0, "Repaid", IF(K131&lt;C131, "Partially Repaid", "Repaid")))</f>
        <v/>
      </c>
      <c r="K131">
        <f>IF(C131="", "", C131-J131)</f>
        <v/>
      </c>
    </row>
    <row r="132">
      <c r="B132">
        <f>IF(A132="", "", IFERROR(VLOOKUP(A132, "Employee Master"!$A:$B, 2, FALSE), ""))</f>
        <v/>
      </c>
      <c r="E132">
        <f>IF(A132="", "", TODAY())</f>
        <v/>
      </c>
      <c r="F132">
        <f>IF(A132="", "", NOW())</f>
        <v/>
      </c>
      <c r="I132">
        <f>IF(K132="", "", IF(K132=0, "Repaid", IF(K132&lt;C132, "Partially Repaid", "Repaid")))</f>
        <v/>
      </c>
      <c r="K132">
        <f>IF(C132="", "", C132-J132)</f>
        <v/>
      </c>
    </row>
    <row r="133">
      <c r="B133">
        <f>IF(A133="", "", IFERROR(VLOOKUP(A133, "Employee Master"!$A:$B, 2, FALSE), ""))</f>
        <v/>
      </c>
      <c r="E133">
        <f>IF(A133="", "", TODAY())</f>
        <v/>
      </c>
      <c r="F133">
        <f>IF(A133="", "", NOW())</f>
        <v/>
      </c>
      <c r="I133">
        <f>IF(K133="", "", IF(K133=0, "Repaid", IF(K133&lt;C133, "Partially Repaid", "Repaid")))</f>
        <v/>
      </c>
      <c r="K133">
        <f>IF(C133="", "", C133-J133)</f>
        <v/>
      </c>
    </row>
    <row r="134">
      <c r="B134">
        <f>IF(A134="", "", IFERROR(VLOOKUP(A134, "Employee Master"!$A:$B, 2, FALSE), ""))</f>
        <v/>
      </c>
      <c r="E134">
        <f>IF(A134="", "", TODAY())</f>
        <v/>
      </c>
      <c r="F134">
        <f>IF(A134="", "", NOW())</f>
        <v/>
      </c>
      <c r="I134">
        <f>IF(K134="", "", IF(K134=0, "Repaid", IF(K134&lt;C134, "Partially Repaid", "Repaid")))</f>
        <v/>
      </c>
      <c r="K134">
        <f>IF(C134="", "", C134-J134)</f>
        <v/>
      </c>
    </row>
    <row r="135">
      <c r="B135">
        <f>IF(A135="", "", IFERROR(VLOOKUP(A135, "Employee Master"!$A:$B, 2, FALSE), ""))</f>
        <v/>
      </c>
      <c r="E135">
        <f>IF(A135="", "", TODAY())</f>
        <v/>
      </c>
      <c r="F135">
        <f>IF(A135="", "", NOW())</f>
        <v/>
      </c>
      <c r="I135">
        <f>IF(K135="", "", IF(K135=0, "Repaid", IF(K135&lt;C135, "Partially Repaid", "Repaid")))</f>
        <v/>
      </c>
      <c r="K135">
        <f>IF(C135="", "", C135-J135)</f>
        <v/>
      </c>
    </row>
    <row r="136">
      <c r="B136">
        <f>IF(A136="", "", IFERROR(VLOOKUP(A136, "Employee Master"!$A:$B, 2, FALSE), ""))</f>
        <v/>
      </c>
      <c r="E136">
        <f>IF(A136="", "", TODAY())</f>
        <v/>
      </c>
      <c r="F136">
        <f>IF(A136="", "", NOW())</f>
        <v/>
      </c>
      <c r="I136">
        <f>IF(K136="", "", IF(K136=0, "Repaid", IF(K136&lt;C136, "Partially Repaid", "Repaid")))</f>
        <v/>
      </c>
      <c r="K136">
        <f>IF(C136="", "", C136-J136)</f>
        <v/>
      </c>
    </row>
    <row r="137">
      <c r="B137">
        <f>IF(A137="", "", IFERROR(VLOOKUP(A137, "Employee Master"!$A:$B, 2, FALSE), ""))</f>
        <v/>
      </c>
      <c r="E137">
        <f>IF(A137="", "", TODAY())</f>
        <v/>
      </c>
      <c r="F137">
        <f>IF(A137="", "", NOW())</f>
        <v/>
      </c>
      <c r="I137">
        <f>IF(K137="", "", IF(K137=0, "Repaid", IF(K137&lt;C137, "Partially Repaid", "Repaid")))</f>
        <v/>
      </c>
      <c r="K137">
        <f>IF(C137="", "", C137-J137)</f>
        <v/>
      </c>
    </row>
    <row r="138">
      <c r="B138">
        <f>IF(A138="", "", IFERROR(VLOOKUP(A138, "Employee Master"!$A:$B, 2, FALSE), ""))</f>
        <v/>
      </c>
      <c r="E138">
        <f>IF(A138="", "", TODAY())</f>
        <v/>
      </c>
      <c r="F138">
        <f>IF(A138="", "", NOW())</f>
        <v/>
      </c>
      <c r="I138">
        <f>IF(K138="", "", IF(K138=0, "Repaid", IF(K138&lt;C138, "Partially Repaid", "Repaid")))</f>
        <v/>
      </c>
      <c r="K138">
        <f>IF(C138="", "", C138-J138)</f>
        <v/>
      </c>
    </row>
    <row r="139">
      <c r="B139">
        <f>IF(A139="", "", IFERROR(VLOOKUP(A139, "Employee Master"!$A:$B, 2, FALSE), ""))</f>
        <v/>
      </c>
      <c r="E139">
        <f>IF(A139="", "", TODAY())</f>
        <v/>
      </c>
      <c r="F139">
        <f>IF(A139="", "", NOW())</f>
        <v/>
      </c>
      <c r="I139">
        <f>IF(K139="", "", IF(K139=0, "Repaid", IF(K139&lt;C139, "Partially Repaid", "Repaid")))</f>
        <v/>
      </c>
      <c r="K139">
        <f>IF(C139="", "", C139-J139)</f>
        <v/>
      </c>
    </row>
    <row r="140">
      <c r="B140">
        <f>IF(A140="", "", IFERROR(VLOOKUP(A140, "Employee Master"!$A:$B, 2, FALSE), ""))</f>
        <v/>
      </c>
      <c r="E140">
        <f>IF(A140="", "", TODAY())</f>
        <v/>
      </c>
      <c r="F140">
        <f>IF(A140="", "", NOW())</f>
        <v/>
      </c>
      <c r="I140">
        <f>IF(K140="", "", IF(K140=0, "Repaid", IF(K140&lt;C140, "Partially Repaid", "Repaid")))</f>
        <v/>
      </c>
      <c r="K140">
        <f>IF(C140="", "", C140-J140)</f>
        <v/>
      </c>
    </row>
    <row r="141">
      <c r="B141">
        <f>IF(A141="", "", IFERROR(VLOOKUP(A141, "Employee Master"!$A:$B, 2, FALSE), ""))</f>
        <v/>
      </c>
      <c r="E141">
        <f>IF(A141="", "", TODAY())</f>
        <v/>
      </c>
      <c r="F141">
        <f>IF(A141="", "", NOW())</f>
        <v/>
      </c>
      <c r="I141">
        <f>IF(K141="", "", IF(K141=0, "Repaid", IF(K141&lt;C141, "Partially Repaid", "Repaid")))</f>
        <v/>
      </c>
      <c r="K141">
        <f>IF(C141="", "", C141-J141)</f>
        <v/>
      </c>
    </row>
    <row r="142">
      <c r="B142">
        <f>IF(A142="", "", IFERROR(VLOOKUP(A142, "Employee Master"!$A:$B, 2, FALSE), ""))</f>
        <v/>
      </c>
      <c r="E142">
        <f>IF(A142="", "", TODAY())</f>
        <v/>
      </c>
      <c r="F142">
        <f>IF(A142="", "", NOW())</f>
        <v/>
      </c>
      <c r="I142">
        <f>IF(K142="", "", IF(K142=0, "Repaid", IF(K142&lt;C142, "Partially Repaid", "Repaid")))</f>
        <v/>
      </c>
      <c r="K142">
        <f>IF(C142="", "", C142-J142)</f>
        <v/>
      </c>
    </row>
    <row r="143">
      <c r="B143">
        <f>IF(A143="", "", IFERROR(VLOOKUP(A143, "Employee Master"!$A:$B, 2, FALSE), ""))</f>
        <v/>
      </c>
      <c r="E143">
        <f>IF(A143="", "", TODAY())</f>
        <v/>
      </c>
      <c r="F143">
        <f>IF(A143="", "", NOW())</f>
        <v/>
      </c>
      <c r="I143">
        <f>IF(K143="", "", IF(K143=0, "Repaid", IF(K143&lt;C143, "Partially Repaid", "Repaid")))</f>
        <v/>
      </c>
      <c r="K143">
        <f>IF(C143="", "", C143-J143)</f>
        <v/>
      </c>
    </row>
    <row r="144">
      <c r="B144">
        <f>IF(A144="", "", IFERROR(VLOOKUP(A144, "Employee Master"!$A:$B, 2, FALSE), ""))</f>
        <v/>
      </c>
      <c r="E144">
        <f>IF(A144="", "", TODAY())</f>
        <v/>
      </c>
      <c r="F144">
        <f>IF(A144="", "", NOW())</f>
        <v/>
      </c>
      <c r="I144">
        <f>IF(K144="", "", IF(K144=0, "Repaid", IF(K144&lt;C144, "Partially Repaid", "Repaid")))</f>
        <v/>
      </c>
      <c r="K144">
        <f>IF(C144="", "", C144-J144)</f>
        <v/>
      </c>
    </row>
    <row r="145">
      <c r="B145">
        <f>IF(A145="", "", IFERROR(VLOOKUP(A145, "Employee Master"!$A:$B, 2, FALSE), ""))</f>
        <v/>
      </c>
      <c r="E145">
        <f>IF(A145="", "", TODAY())</f>
        <v/>
      </c>
      <c r="F145">
        <f>IF(A145="", "", NOW())</f>
        <v/>
      </c>
      <c r="I145">
        <f>IF(K145="", "", IF(K145=0, "Repaid", IF(K145&lt;C145, "Partially Repaid", "Repaid")))</f>
        <v/>
      </c>
      <c r="K145">
        <f>IF(C145="", "", C145-J145)</f>
        <v/>
      </c>
    </row>
    <row r="146">
      <c r="B146">
        <f>IF(A146="", "", IFERROR(VLOOKUP(A146, "Employee Master"!$A:$B, 2, FALSE), ""))</f>
        <v/>
      </c>
      <c r="E146">
        <f>IF(A146="", "", TODAY())</f>
        <v/>
      </c>
      <c r="F146">
        <f>IF(A146="", "", NOW())</f>
        <v/>
      </c>
      <c r="I146">
        <f>IF(K146="", "", IF(K146=0, "Repaid", IF(K146&lt;C146, "Partially Repaid", "Repaid")))</f>
        <v/>
      </c>
      <c r="K146">
        <f>IF(C146="", "", C146-J146)</f>
        <v/>
      </c>
    </row>
    <row r="147">
      <c r="B147">
        <f>IF(A147="", "", IFERROR(VLOOKUP(A147, "Employee Master"!$A:$B, 2, FALSE), ""))</f>
        <v/>
      </c>
      <c r="E147">
        <f>IF(A147="", "", TODAY())</f>
        <v/>
      </c>
      <c r="F147">
        <f>IF(A147="", "", NOW())</f>
        <v/>
      </c>
      <c r="I147">
        <f>IF(K147="", "", IF(K147=0, "Repaid", IF(K147&lt;C147, "Partially Repaid", "Repaid")))</f>
        <v/>
      </c>
      <c r="K147">
        <f>IF(C147="", "", C147-J147)</f>
        <v/>
      </c>
    </row>
    <row r="148">
      <c r="B148">
        <f>IF(A148="", "", IFERROR(VLOOKUP(A148, "Employee Master"!$A:$B, 2, FALSE), ""))</f>
        <v/>
      </c>
      <c r="E148">
        <f>IF(A148="", "", TODAY())</f>
        <v/>
      </c>
      <c r="F148">
        <f>IF(A148="", "", NOW())</f>
        <v/>
      </c>
      <c r="I148">
        <f>IF(K148="", "", IF(K148=0, "Repaid", IF(K148&lt;C148, "Partially Repaid", "Repaid")))</f>
        <v/>
      </c>
      <c r="K148">
        <f>IF(C148="", "", C148-J148)</f>
        <v/>
      </c>
    </row>
    <row r="149">
      <c r="B149">
        <f>IF(A149="", "", IFERROR(VLOOKUP(A149, "Employee Master"!$A:$B, 2, FALSE), ""))</f>
        <v/>
      </c>
      <c r="E149">
        <f>IF(A149="", "", TODAY())</f>
        <v/>
      </c>
      <c r="F149">
        <f>IF(A149="", "", NOW())</f>
        <v/>
      </c>
      <c r="I149">
        <f>IF(K149="", "", IF(K149=0, "Repaid", IF(K149&lt;C149, "Partially Repaid", "Repaid")))</f>
        <v/>
      </c>
      <c r="K149">
        <f>IF(C149="", "", C149-J149)</f>
        <v/>
      </c>
    </row>
    <row r="150">
      <c r="B150">
        <f>IF(A150="", "", IFERROR(VLOOKUP(A150, "Employee Master"!$A:$B, 2, FALSE), ""))</f>
        <v/>
      </c>
      <c r="E150">
        <f>IF(A150="", "", TODAY())</f>
        <v/>
      </c>
      <c r="F150">
        <f>IF(A150="", "", NOW())</f>
        <v/>
      </c>
      <c r="I150">
        <f>IF(K150="", "", IF(K150=0, "Repaid", IF(K150&lt;C150, "Partially Repaid", "Repaid")))</f>
        <v/>
      </c>
      <c r="K150">
        <f>IF(C150="", "", C150-J150)</f>
        <v/>
      </c>
    </row>
    <row r="151">
      <c r="B151">
        <f>IF(A151="", "", IFERROR(VLOOKUP(A151, "Employee Master"!$A:$B, 2, FALSE), ""))</f>
        <v/>
      </c>
      <c r="E151">
        <f>IF(A151="", "", TODAY())</f>
        <v/>
      </c>
      <c r="F151">
        <f>IF(A151="", "", NOW())</f>
        <v/>
      </c>
      <c r="I151">
        <f>IF(K151="", "", IF(K151=0, "Repaid", IF(K151&lt;C151, "Partially Repaid", "Repaid")))</f>
        <v/>
      </c>
      <c r="K151">
        <f>IF(C151="", "", C151-J151)</f>
        <v/>
      </c>
    </row>
    <row r="152">
      <c r="B152">
        <f>IF(A152="", "", IFERROR(VLOOKUP(A152, "Employee Master"!$A:$B, 2, FALSE), ""))</f>
        <v/>
      </c>
      <c r="E152">
        <f>IF(A152="", "", TODAY())</f>
        <v/>
      </c>
      <c r="F152">
        <f>IF(A152="", "", NOW())</f>
        <v/>
      </c>
      <c r="I152">
        <f>IF(K152="", "", IF(K152=0, "Repaid", IF(K152&lt;C152, "Partially Repaid", "Repaid")))</f>
        <v/>
      </c>
      <c r="K152">
        <f>IF(C152="", "", C152-J152)</f>
        <v/>
      </c>
    </row>
    <row r="153">
      <c r="B153">
        <f>IF(A153="", "", IFERROR(VLOOKUP(A153, "Employee Master"!$A:$B, 2, FALSE), ""))</f>
        <v/>
      </c>
      <c r="E153">
        <f>IF(A153="", "", TODAY())</f>
        <v/>
      </c>
      <c r="F153">
        <f>IF(A153="", "", NOW())</f>
        <v/>
      </c>
      <c r="I153">
        <f>IF(K153="", "", IF(K153=0, "Repaid", IF(K153&lt;C153, "Partially Repaid", "Repaid")))</f>
        <v/>
      </c>
      <c r="K153">
        <f>IF(C153="", "", C153-J153)</f>
        <v/>
      </c>
    </row>
    <row r="154">
      <c r="B154">
        <f>IF(A154="", "", IFERROR(VLOOKUP(A154, "Employee Master"!$A:$B, 2, FALSE), ""))</f>
        <v/>
      </c>
      <c r="E154">
        <f>IF(A154="", "", TODAY())</f>
        <v/>
      </c>
      <c r="F154">
        <f>IF(A154="", "", NOW())</f>
        <v/>
      </c>
      <c r="I154">
        <f>IF(K154="", "", IF(K154=0, "Repaid", IF(K154&lt;C154, "Partially Repaid", "Repaid")))</f>
        <v/>
      </c>
      <c r="K154">
        <f>IF(C154="", "", C154-J154)</f>
        <v/>
      </c>
    </row>
    <row r="155">
      <c r="B155">
        <f>IF(A155="", "", IFERROR(VLOOKUP(A155, "Employee Master"!$A:$B, 2, FALSE), ""))</f>
        <v/>
      </c>
      <c r="E155">
        <f>IF(A155="", "", TODAY())</f>
        <v/>
      </c>
      <c r="F155">
        <f>IF(A155="", "", NOW())</f>
        <v/>
      </c>
      <c r="I155">
        <f>IF(K155="", "", IF(K155=0, "Repaid", IF(K155&lt;C155, "Partially Repaid", "Repaid")))</f>
        <v/>
      </c>
      <c r="K155">
        <f>IF(C155="", "", C155-J155)</f>
        <v/>
      </c>
    </row>
    <row r="156">
      <c r="B156">
        <f>IF(A156="", "", IFERROR(VLOOKUP(A156, "Employee Master"!$A:$B, 2, FALSE), ""))</f>
        <v/>
      </c>
      <c r="E156">
        <f>IF(A156="", "", TODAY())</f>
        <v/>
      </c>
      <c r="F156">
        <f>IF(A156="", "", NOW())</f>
        <v/>
      </c>
      <c r="I156">
        <f>IF(K156="", "", IF(K156=0, "Repaid", IF(K156&lt;C156, "Partially Repaid", "Repaid")))</f>
        <v/>
      </c>
      <c r="K156">
        <f>IF(C156="", "", C156-J156)</f>
        <v/>
      </c>
    </row>
    <row r="157">
      <c r="B157">
        <f>IF(A157="", "", IFERROR(VLOOKUP(A157, "Employee Master"!$A:$B, 2, FALSE), ""))</f>
        <v/>
      </c>
      <c r="E157">
        <f>IF(A157="", "", TODAY())</f>
        <v/>
      </c>
      <c r="F157">
        <f>IF(A157="", "", NOW())</f>
        <v/>
      </c>
      <c r="I157">
        <f>IF(K157="", "", IF(K157=0, "Repaid", IF(K157&lt;C157, "Partially Repaid", "Repaid")))</f>
        <v/>
      </c>
      <c r="K157">
        <f>IF(C157="", "", C157-J157)</f>
        <v/>
      </c>
    </row>
    <row r="158">
      <c r="B158">
        <f>IF(A158="", "", IFERROR(VLOOKUP(A158, "Employee Master"!$A:$B, 2, FALSE), ""))</f>
        <v/>
      </c>
      <c r="E158">
        <f>IF(A158="", "", TODAY())</f>
        <v/>
      </c>
      <c r="F158">
        <f>IF(A158="", "", NOW())</f>
        <v/>
      </c>
      <c r="I158">
        <f>IF(K158="", "", IF(K158=0, "Repaid", IF(K158&lt;C158, "Partially Repaid", "Repaid")))</f>
        <v/>
      </c>
      <c r="K158">
        <f>IF(C158="", "", C158-J158)</f>
        <v/>
      </c>
    </row>
    <row r="159">
      <c r="B159">
        <f>IF(A159="", "", IFERROR(VLOOKUP(A159, "Employee Master"!$A:$B, 2, FALSE), ""))</f>
        <v/>
      </c>
      <c r="E159">
        <f>IF(A159="", "", TODAY())</f>
        <v/>
      </c>
      <c r="F159">
        <f>IF(A159="", "", NOW())</f>
        <v/>
      </c>
      <c r="I159">
        <f>IF(K159="", "", IF(K159=0, "Repaid", IF(K159&lt;C159, "Partially Repaid", "Repaid")))</f>
        <v/>
      </c>
      <c r="K159">
        <f>IF(C159="", "", C159-J159)</f>
        <v/>
      </c>
    </row>
    <row r="160">
      <c r="B160">
        <f>IF(A160="", "", IFERROR(VLOOKUP(A160, "Employee Master"!$A:$B, 2, FALSE), ""))</f>
        <v/>
      </c>
      <c r="E160">
        <f>IF(A160="", "", TODAY())</f>
        <v/>
      </c>
      <c r="F160">
        <f>IF(A160="", "", NOW())</f>
        <v/>
      </c>
      <c r="I160">
        <f>IF(K160="", "", IF(K160=0, "Repaid", IF(K160&lt;C160, "Partially Repaid", "Repaid")))</f>
        <v/>
      </c>
      <c r="K160">
        <f>IF(C160="", "", C160-J160)</f>
        <v/>
      </c>
    </row>
    <row r="161">
      <c r="B161">
        <f>IF(A161="", "", IFERROR(VLOOKUP(A161, "Employee Master"!$A:$B, 2, FALSE), ""))</f>
        <v/>
      </c>
      <c r="E161">
        <f>IF(A161="", "", TODAY())</f>
        <v/>
      </c>
      <c r="F161">
        <f>IF(A161="", "", NOW())</f>
        <v/>
      </c>
      <c r="I161">
        <f>IF(K161="", "", IF(K161=0, "Repaid", IF(K161&lt;C161, "Partially Repaid", "Repaid")))</f>
        <v/>
      </c>
      <c r="K161">
        <f>IF(C161="", "", C161-J161)</f>
        <v/>
      </c>
    </row>
    <row r="162">
      <c r="B162">
        <f>IF(A162="", "", IFERROR(VLOOKUP(A162, "Employee Master"!$A:$B, 2, FALSE), ""))</f>
        <v/>
      </c>
      <c r="E162">
        <f>IF(A162="", "", TODAY())</f>
        <v/>
      </c>
      <c r="F162">
        <f>IF(A162="", "", NOW())</f>
        <v/>
      </c>
      <c r="I162">
        <f>IF(K162="", "", IF(K162=0, "Repaid", IF(K162&lt;C162, "Partially Repaid", "Repaid")))</f>
        <v/>
      </c>
      <c r="K162">
        <f>IF(C162="", "", C162-J162)</f>
        <v/>
      </c>
    </row>
    <row r="163">
      <c r="B163">
        <f>IF(A163="", "", IFERROR(VLOOKUP(A163, "Employee Master"!$A:$B, 2, FALSE), ""))</f>
        <v/>
      </c>
      <c r="E163">
        <f>IF(A163="", "", TODAY())</f>
        <v/>
      </c>
      <c r="F163">
        <f>IF(A163="", "", NOW())</f>
        <v/>
      </c>
      <c r="I163">
        <f>IF(K163="", "", IF(K163=0, "Repaid", IF(K163&lt;C163, "Partially Repaid", "Repaid")))</f>
        <v/>
      </c>
      <c r="K163">
        <f>IF(C163="", "", C163-J163)</f>
        <v/>
      </c>
    </row>
    <row r="164">
      <c r="B164">
        <f>IF(A164="", "", IFERROR(VLOOKUP(A164, "Employee Master"!$A:$B, 2, FALSE), ""))</f>
        <v/>
      </c>
      <c r="E164">
        <f>IF(A164="", "", TODAY())</f>
        <v/>
      </c>
      <c r="F164">
        <f>IF(A164="", "", NOW())</f>
        <v/>
      </c>
      <c r="I164">
        <f>IF(K164="", "", IF(K164=0, "Repaid", IF(K164&lt;C164, "Partially Repaid", "Repaid")))</f>
        <v/>
      </c>
      <c r="K164">
        <f>IF(C164="", "", C164-J164)</f>
        <v/>
      </c>
    </row>
    <row r="165">
      <c r="B165">
        <f>IF(A165="", "", IFERROR(VLOOKUP(A165, "Employee Master"!$A:$B, 2, FALSE), ""))</f>
        <v/>
      </c>
      <c r="E165">
        <f>IF(A165="", "", TODAY())</f>
        <v/>
      </c>
      <c r="F165">
        <f>IF(A165="", "", NOW())</f>
        <v/>
      </c>
      <c r="I165">
        <f>IF(K165="", "", IF(K165=0, "Repaid", IF(K165&lt;C165, "Partially Repaid", "Repaid")))</f>
        <v/>
      </c>
      <c r="K165">
        <f>IF(C165="", "", C165-J165)</f>
        <v/>
      </c>
    </row>
    <row r="166">
      <c r="B166">
        <f>IF(A166="", "", IFERROR(VLOOKUP(A166, "Employee Master"!$A:$B, 2, FALSE), ""))</f>
        <v/>
      </c>
      <c r="E166">
        <f>IF(A166="", "", TODAY())</f>
        <v/>
      </c>
      <c r="F166">
        <f>IF(A166="", "", NOW())</f>
        <v/>
      </c>
      <c r="I166">
        <f>IF(K166="", "", IF(K166=0, "Repaid", IF(K166&lt;C166, "Partially Repaid", "Repaid")))</f>
        <v/>
      </c>
      <c r="K166">
        <f>IF(C166="", "", C166-J166)</f>
        <v/>
      </c>
    </row>
    <row r="167">
      <c r="B167">
        <f>IF(A167="", "", IFERROR(VLOOKUP(A167, "Employee Master"!$A:$B, 2, FALSE), ""))</f>
        <v/>
      </c>
      <c r="E167">
        <f>IF(A167="", "", TODAY())</f>
        <v/>
      </c>
      <c r="F167">
        <f>IF(A167="", "", NOW())</f>
        <v/>
      </c>
      <c r="I167">
        <f>IF(K167="", "", IF(K167=0, "Repaid", IF(K167&lt;C167, "Partially Repaid", "Repaid")))</f>
        <v/>
      </c>
      <c r="K167">
        <f>IF(C167="", "", C167-J167)</f>
        <v/>
      </c>
    </row>
    <row r="168">
      <c r="B168">
        <f>IF(A168="", "", IFERROR(VLOOKUP(A168, "Employee Master"!$A:$B, 2, FALSE), ""))</f>
        <v/>
      </c>
      <c r="E168">
        <f>IF(A168="", "", TODAY())</f>
        <v/>
      </c>
      <c r="F168">
        <f>IF(A168="", "", NOW())</f>
        <v/>
      </c>
      <c r="I168">
        <f>IF(K168="", "", IF(K168=0, "Repaid", IF(K168&lt;C168, "Partially Repaid", "Repaid")))</f>
        <v/>
      </c>
      <c r="K168">
        <f>IF(C168="", "", C168-J168)</f>
        <v/>
      </c>
    </row>
    <row r="169">
      <c r="B169">
        <f>IF(A169="", "", IFERROR(VLOOKUP(A169, "Employee Master"!$A:$B, 2, FALSE), ""))</f>
        <v/>
      </c>
      <c r="E169">
        <f>IF(A169="", "", TODAY())</f>
        <v/>
      </c>
      <c r="F169">
        <f>IF(A169="", "", NOW())</f>
        <v/>
      </c>
      <c r="I169">
        <f>IF(K169="", "", IF(K169=0, "Repaid", IF(K169&lt;C169, "Partially Repaid", "Repaid")))</f>
        <v/>
      </c>
      <c r="K169">
        <f>IF(C169="", "", C169-J169)</f>
        <v/>
      </c>
    </row>
    <row r="170">
      <c r="B170">
        <f>IF(A170="", "", IFERROR(VLOOKUP(A170, "Employee Master"!$A:$B, 2, FALSE), ""))</f>
        <v/>
      </c>
      <c r="E170">
        <f>IF(A170="", "", TODAY())</f>
        <v/>
      </c>
      <c r="F170">
        <f>IF(A170="", "", NOW())</f>
        <v/>
      </c>
      <c r="I170">
        <f>IF(K170="", "", IF(K170=0, "Repaid", IF(K170&lt;C170, "Partially Repaid", "Repaid")))</f>
        <v/>
      </c>
      <c r="K170">
        <f>IF(C170="", "", C170-J170)</f>
        <v/>
      </c>
    </row>
    <row r="171">
      <c r="B171">
        <f>IF(A171="", "", IFERROR(VLOOKUP(A171, "Employee Master"!$A:$B, 2, FALSE), ""))</f>
        <v/>
      </c>
      <c r="E171">
        <f>IF(A171="", "", TODAY())</f>
        <v/>
      </c>
      <c r="F171">
        <f>IF(A171="", "", NOW())</f>
        <v/>
      </c>
      <c r="I171">
        <f>IF(K171="", "", IF(K171=0, "Repaid", IF(K171&lt;C171, "Partially Repaid", "Repaid")))</f>
        <v/>
      </c>
      <c r="K171">
        <f>IF(C171="", "", C171-J171)</f>
        <v/>
      </c>
    </row>
    <row r="172">
      <c r="B172">
        <f>IF(A172="", "", IFERROR(VLOOKUP(A172, "Employee Master"!$A:$B, 2, FALSE), ""))</f>
        <v/>
      </c>
      <c r="E172">
        <f>IF(A172="", "", TODAY())</f>
        <v/>
      </c>
      <c r="F172">
        <f>IF(A172="", "", NOW())</f>
        <v/>
      </c>
      <c r="I172">
        <f>IF(K172="", "", IF(K172=0, "Repaid", IF(K172&lt;C172, "Partially Repaid", "Repaid")))</f>
        <v/>
      </c>
      <c r="K172">
        <f>IF(C172="", "", C172-J172)</f>
        <v/>
      </c>
    </row>
    <row r="173">
      <c r="B173">
        <f>IF(A173="", "", IFERROR(VLOOKUP(A173, "Employee Master"!$A:$B, 2, FALSE), ""))</f>
        <v/>
      </c>
      <c r="E173">
        <f>IF(A173="", "", TODAY())</f>
        <v/>
      </c>
      <c r="F173">
        <f>IF(A173="", "", NOW())</f>
        <v/>
      </c>
      <c r="I173">
        <f>IF(K173="", "", IF(K173=0, "Repaid", IF(K173&lt;C173, "Partially Repaid", "Repaid")))</f>
        <v/>
      </c>
      <c r="K173">
        <f>IF(C173="", "", C173-J173)</f>
        <v/>
      </c>
    </row>
    <row r="174">
      <c r="B174">
        <f>IF(A174="", "", IFERROR(VLOOKUP(A174, "Employee Master"!$A:$B, 2, FALSE), ""))</f>
        <v/>
      </c>
      <c r="E174">
        <f>IF(A174="", "", TODAY())</f>
        <v/>
      </c>
      <c r="F174">
        <f>IF(A174="", "", NOW())</f>
        <v/>
      </c>
      <c r="I174">
        <f>IF(K174="", "", IF(K174=0, "Repaid", IF(K174&lt;C174, "Partially Repaid", "Repaid")))</f>
        <v/>
      </c>
      <c r="K174">
        <f>IF(C174="", "", C174-J174)</f>
        <v/>
      </c>
    </row>
    <row r="175">
      <c r="B175">
        <f>IF(A175="", "", IFERROR(VLOOKUP(A175, "Employee Master"!$A:$B, 2, FALSE), ""))</f>
        <v/>
      </c>
      <c r="E175">
        <f>IF(A175="", "", TODAY())</f>
        <v/>
      </c>
      <c r="F175">
        <f>IF(A175="", "", NOW())</f>
        <v/>
      </c>
      <c r="I175">
        <f>IF(K175="", "", IF(K175=0, "Repaid", IF(K175&lt;C175, "Partially Repaid", "Repaid")))</f>
        <v/>
      </c>
      <c r="K175">
        <f>IF(C175="", "", C175-J175)</f>
        <v/>
      </c>
    </row>
    <row r="176">
      <c r="B176">
        <f>IF(A176="", "", IFERROR(VLOOKUP(A176, "Employee Master"!$A:$B, 2, FALSE), ""))</f>
        <v/>
      </c>
      <c r="E176">
        <f>IF(A176="", "", TODAY())</f>
        <v/>
      </c>
      <c r="F176">
        <f>IF(A176="", "", NOW())</f>
        <v/>
      </c>
      <c r="I176">
        <f>IF(K176="", "", IF(K176=0, "Repaid", IF(K176&lt;C176, "Partially Repaid", "Repaid")))</f>
        <v/>
      </c>
      <c r="K176">
        <f>IF(C176="", "", C176-J176)</f>
        <v/>
      </c>
    </row>
    <row r="177">
      <c r="B177">
        <f>IF(A177="", "", IFERROR(VLOOKUP(A177, "Employee Master"!$A:$B, 2, FALSE), ""))</f>
        <v/>
      </c>
      <c r="E177">
        <f>IF(A177="", "", TODAY())</f>
        <v/>
      </c>
      <c r="F177">
        <f>IF(A177="", "", NOW())</f>
        <v/>
      </c>
      <c r="I177">
        <f>IF(K177="", "", IF(K177=0, "Repaid", IF(K177&lt;C177, "Partially Repaid", "Repaid")))</f>
        <v/>
      </c>
      <c r="K177">
        <f>IF(C177="", "", C177-J177)</f>
        <v/>
      </c>
    </row>
    <row r="178">
      <c r="B178">
        <f>IF(A178="", "", IFERROR(VLOOKUP(A178, "Employee Master"!$A:$B, 2, FALSE), ""))</f>
        <v/>
      </c>
      <c r="E178">
        <f>IF(A178="", "", TODAY())</f>
        <v/>
      </c>
      <c r="F178">
        <f>IF(A178="", "", NOW())</f>
        <v/>
      </c>
      <c r="I178">
        <f>IF(K178="", "", IF(K178=0, "Repaid", IF(K178&lt;C178, "Partially Repaid", "Repaid")))</f>
        <v/>
      </c>
      <c r="K178">
        <f>IF(C178="", "", C178-J178)</f>
        <v/>
      </c>
    </row>
    <row r="179">
      <c r="B179">
        <f>IF(A179="", "", IFERROR(VLOOKUP(A179, "Employee Master"!$A:$B, 2, FALSE), ""))</f>
        <v/>
      </c>
      <c r="E179">
        <f>IF(A179="", "", TODAY())</f>
        <v/>
      </c>
      <c r="F179">
        <f>IF(A179="", "", NOW())</f>
        <v/>
      </c>
      <c r="I179">
        <f>IF(K179="", "", IF(K179=0, "Repaid", IF(K179&lt;C179, "Partially Repaid", "Repaid")))</f>
        <v/>
      </c>
      <c r="K179">
        <f>IF(C179="", "", C179-J179)</f>
        <v/>
      </c>
    </row>
    <row r="180">
      <c r="B180">
        <f>IF(A180="", "", IFERROR(VLOOKUP(A180, "Employee Master"!$A:$B, 2, FALSE), ""))</f>
        <v/>
      </c>
      <c r="E180">
        <f>IF(A180="", "", TODAY())</f>
        <v/>
      </c>
      <c r="F180">
        <f>IF(A180="", "", NOW())</f>
        <v/>
      </c>
      <c r="I180">
        <f>IF(K180="", "", IF(K180=0, "Repaid", IF(K180&lt;C180, "Partially Repaid", "Repaid")))</f>
        <v/>
      </c>
      <c r="K180">
        <f>IF(C180="", "", C180-J180)</f>
        <v/>
      </c>
    </row>
    <row r="181">
      <c r="B181">
        <f>IF(A181="", "", IFERROR(VLOOKUP(A181, "Employee Master"!$A:$B, 2, FALSE), ""))</f>
        <v/>
      </c>
      <c r="E181">
        <f>IF(A181="", "", TODAY())</f>
        <v/>
      </c>
      <c r="F181">
        <f>IF(A181="", "", NOW())</f>
        <v/>
      </c>
      <c r="I181">
        <f>IF(K181="", "", IF(K181=0, "Repaid", IF(K181&lt;C181, "Partially Repaid", "Repaid")))</f>
        <v/>
      </c>
      <c r="K181">
        <f>IF(C181="", "", C181-J181)</f>
        <v/>
      </c>
    </row>
    <row r="182">
      <c r="B182">
        <f>IF(A182="", "", IFERROR(VLOOKUP(A182, "Employee Master"!$A:$B, 2, FALSE), ""))</f>
        <v/>
      </c>
      <c r="E182">
        <f>IF(A182="", "", TODAY())</f>
        <v/>
      </c>
      <c r="F182">
        <f>IF(A182="", "", NOW())</f>
        <v/>
      </c>
      <c r="I182">
        <f>IF(K182="", "", IF(K182=0, "Repaid", IF(K182&lt;C182, "Partially Repaid", "Repaid")))</f>
        <v/>
      </c>
      <c r="K182">
        <f>IF(C182="", "", C182-J182)</f>
        <v/>
      </c>
    </row>
    <row r="183">
      <c r="B183">
        <f>IF(A183="", "", IFERROR(VLOOKUP(A183, "Employee Master"!$A:$B, 2, FALSE), ""))</f>
        <v/>
      </c>
      <c r="E183">
        <f>IF(A183="", "", TODAY())</f>
        <v/>
      </c>
      <c r="F183">
        <f>IF(A183="", "", NOW())</f>
        <v/>
      </c>
      <c r="I183">
        <f>IF(K183="", "", IF(K183=0, "Repaid", IF(K183&lt;C183, "Partially Repaid", "Repaid")))</f>
        <v/>
      </c>
      <c r="K183">
        <f>IF(C183="", "", C183-J183)</f>
        <v/>
      </c>
    </row>
    <row r="184">
      <c r="B184">
        <f>IF(A184="", "", IFERROR(VLOOKUP(A184, "Employee Master"!$A:$B, 2, FALSE), ""))</f>
        <v/>
      </c>
      <c r="E184">
        <f>IF(A184="", "", TODAY())</f>
        <v/>
      </c>
      <c r="F184">
        <f>IF(A184="", "", NOW())</f>
        <v/>
      </c>
      <c r="I184">
        <f>IF(K184="", "", IF(K184=0, "Repaid", IF(K184&lt;C184, "Partially Repaid", "Repaid")))</f>
        <v/>
      </c>
      <c r="K184">
        <f>IF(C184="", "", C184-J184)</f>
        <v/>
      </c>
    </row>
    <row r="185">
      <c r="B185">
        <f>IF(A185="", "", IFERROR(VLOOKUP(A185, "Employee Master"!$A:$B, 2, FALSE), ""))</f>
        <v/>
      </c>
      <c r="E185">
        <f>IF(A185="", "", TODAY())</f>
        <v/>
      </c>
      <c r="F185">
        <f>IF(A185="", "", NOW())</f>
        <v/>
      </c>
      <c r="I185">
        <f>IF(K185="", "", IF(K185=0, "Repaid", IF(K185&lt;C185, "Partially Repaid", "Repaid")))</f>
        <v/>
      </c>
      <c r="K185">
        <f>IF(C185="", "", C185-J185)</f>
        <v/>
      </c>
    </row>
    <row r="186">
      <c r="B186">
        <f>IF(A186="", "", IFERROR(VLOOKUP(A186, "Employee Master"!$A:$B, 2, FALSE), ""))</f>
        <v/>
      </c>
      <c r="E186">
        <f>IF(A186="", "", TODAY())</f>
        <v/>
      </c>
      <c r="F186">
        <f>IF(A186="", "", NOW())</f>
        <v/>
      </c>
      <c r="I186">
        <f>IF(K186="", "", IF(K186=0, "Repaid", IF(K186&lt;C186, "Partially Repaid", "Repaid")))</f>
        <v/>
      </c>
      <c r="K186">
        <f>IF(C186="", "", C186-J186)</f>
        <v/>
      </c>
    </row>
    <row r="187">
      <c r="B187">
        <f>IF(A187="", "", IFERROR(VLOOKUP(A187, "Employee Master"!$A:$B, 2, FALSE), ""))</f>
        <v/>
      </c>
      <c r="E187">
        <f>IF(A187="", "", TODAY())</f>
        <v/>
      </c>
      <c r="F187">
        <f>IF(A187="", "", NOW())</f>
        <v/>
      </c>
      <c r="I187">
        <f>IF(K187="", "", IF(K187=0, "Repaid", IF(K187&lt;C187, "Partially Repaid", "Repaid")))</f>
        <v/>
      </c>
      <c r="K187">
        <f>IF(C187="", "", C187-J187)</f>
        <v/>
      </c>
    </row>
    <row r="188">
      <c r="B188">
        <f>IF(A188="", "", IFERROR(VLOOKUP(A188, "Employee Master"!$A:$B, 2, FALSE), ""))</f>
        <v/>
      </c>
      <c r="E188">
        <f>IF(A188="", "", TODAY())</f>
        <v/>
      </c>
      <c r="F188">
        <f>IF(A188="", "", NOW())</f>
        <v/>
      </c>
      <c r="I188">
        <f>IF(K188="", "", IF(K188=0, "Repaid", IF(K188&lt;C188, "Partially Repaid", "Repaid")))</f>
        <v/>
      </c>
      <c r="K188">
        <f>IF(C188="", "", C188-J188)</f>
        <v/>
      </c>
    </row>
    <row r="189">
      <c r="B189">
        <f>IF(A189="", "", IFERROR(VLOOKUP(A189, "Employee Master"!$A:$B, 2, FALSE), ""))</f>
        <v/>
      </c>
      <c r="E189">
        <f>IF(A189="", "", TODAY())</f>
        <v/>
      </c>
      <c r="F189">
        <f>IF(A189="", "", NOW())</f>
        <v/>
      </c>
      <c r="I189">
        <f>IF(K189="", "", IF(K189=0, "Repaid", IF(K189&lt;C189, "Partially Repaid", "Repaid")))</f>
        <v/>
      </c>
      <c r="K189">
        <f>IF(C189="", "", C189-J189)</f>
        <v/>
      </c>
    </row>
    <row r="190">
      <c r="B190">
        <f>IF(A190="", "", IFERROR(VLOOKUP(A190, "Employee Master"!$A:$B, 2, FALSE), ""))</f>
        <v/>
      </c>
      <c r="E190">
        <f>IF(A190="", "", TODAY())</f>
        <v/>
      </c>
      <c r="F190">
        <f>IF(A190="", "", NOW())</f>
        <v/>
      </c>
      <c r="I190">
        <f>IF(K190="", "", IF(K190=0, "Repaid", IF(K190&lt;C190, "Partially Repaid", "Repaid")))</f>
        <v/>
      </c>
      <c r="K190">
        <f>IF(C190="", "", C190-J190)</f>
        <v/>
      </c>
    </row>
    <row r="191">
      <c r="B191">
        <f>IF(A191="", "", IFERROR(VLOOKUP(A191, "Employee Master"!$A:$B, 2, FALSE), ""))</f>
        <v/>
      </c>
      <c r="E191">
        <f>IF(A191="", "", TODAY())</f>
        <v/>
      </c>
      <c r="F191">
        <f>IF(A191="", "", NOW())</f>
        <v/>
      </c>
      <c r="I191">
        <f>IF(K191="", "", IF(K191=0, "Repaid", IF(K191&lt;C191, "Partially Repaid", "Repaid")))</f>
        <v/>
      </c>
      <c r="K191">
        <f>IF(C191="", "", C191-J191)</f>
        <v/>
      </c>
    </row>
    <row r="192">
      <c r="B192">
        <f>IF(A192="", "", IFERROR(VLOOKUP(A192, "Employee Master"!$A:$B, 2, FALSE), ""))</f>
        <v/>
      </c>
      <c r="E192">
        <f>IF(A192="", "", TODAY())</f>
        <v/>
      </c>
      <c r="F192">
        <f>IF(A192="", "", NOW())</f>
        <v/>
      </c>
      <c r="I192">
        <f>IF(K192="", "", IF(K192=0, "Repaid", IF(K192&lt;C192, "Partially Repaid", "Repaid")))</f>
        <v/>
      </c>
      <c r="K192">
        <f>IF(C192="", "", C192-J192)</f>
        <v/>
      </c>
    </row>
    <row r="193">
      <c r="B193">
        <f>IF(A193="", "", IFERROR(VLOOKUP(A193, "Employee Master"!$A:$B, 2, FALSE), ""))</f>
        <v/>
      </c>
      <c r="E193">
        <f>IF(A193="", "", TODAY())</f>
        <v/>
      </c>
      <c r="F193">
        <f>IF(A193="", "", NOW())</f>
        <v/>
      </c>
      <c r="I193">
        <f>IF(K193="", "", IF(K193=0, "Repaid", IF(K193&lt;C193, "Partially Repaid", "Repaid")))</f>
        <v/>
      </c>
      <c r="K193">
        <f>IF(C193="", "", C193-J193)</f>
        <v/>
      </c>
    </row>
    <row r="194">
      <c r="B194">
        <f>IF(A194="", "", IFERROR(VLOOKUP(A194, "Employee Master"!$A:$B, 2, FALSE), ""))</f>
        <v/>
      </c>
      <c r="E194">
        <f>IF(A194="", "", TODAY())</f>
        <v/>
      </c>
      <c r="F194">
        <f>IF(A194="", "", NOW())</f>
        <v/>
      </c>
      <c r="I194">
        <f>IF(K194="", "", IF(K194=0, "Repaid", IF(K194&lt;C194, "Partially Repaid", "Repaid")))</f>
        <v/>
      </c>
      <c r="K194">
        <f>IF(C194="", "", C194-J194)</f>
        <v/>
      </c>
    </row>
    <row r="195">
      <c r="B195">
        <f>IF(A195="", "", IFERROR(VLOOKUP(A195, "Employee Master"!$A:$B, 2, FALSE), ""))</f>
        <v/>
      </c>
      <c r="E195">
        <f>IF(A195="", "", TODAY())</f>
        <v/>
      </c>
      <c r="F195">
        <f>IF(A195="", "", NOW())</f>
        <v/>
      </c>
      <c r="I195">
        <f>IF(K195="", "", IF(K195=0, "Repaid", IF(K195&lt;C195, "Partially Repaid", "Repaid")))</f>
        <v/>
      </c>
      <c r="K195">
        <f>IF(C195="", "", C195-J195)</f>
        <v/>
      </c>
    </row>
    <row r="196">
      <c r="B196">
        <f>IF(A196="", "", IFERROR(VLOOKUP(A196, "Employee Master"!$A:$B, 2, FALSE), ""))</f>
        <v/>
      </c>
      <c r="E196">
        <f>IF(A196="", "", TODAY())</f>
        <v/>
      </c>
      <c r="F196">
        <f>IF(A196="", "", NOW())</f>
        <v/>
      </c>
      <c r="I196">
        <f>IF(K196="", "", IF(K196=0, "Repaid", IF(K196&lt;C196, "Partially Repaid", "Repaid")))</f>
        <v/>
      </c>
      <c r="K196">
        <f>IF(C196="", "", C196-J196)</f>
        <v/>
      </c>
    </row>
    <row r="197">
      <c r="B197">
        <f>IF(A197="", "", IFERROR(VLOOKUP(A197, "Employee Master"!$A:$B, 2, FALSE), ""))</f>
        <v/>
      </c>
      <c r="E197">
        <f>IF(A197="", "", TODAY())</f>
        <v/>
      </c>
      <c r="F197">
        <f>IF(A197="", "", NOW())</f>
        <v/>
      </c>
      <c r="I197">
        <f>IF(K197="", "", IF(K197=0, "Repaid", IF(K197&lt;C197, "Partially Repaid", "Repaid")))</f>
        <v/>
      </c>
      <c r="K197">
        <f>IF(C197="", "", C197-J197)</f>
        <v/>
      </c>
    </row>
    <row r="198">
      <c r="B198">
        <f>IF(A198="", "", IFERROR(VLOOKUP(A198, "Employee Master"!$A:$B, 2, FALSE), ""))</f>
        <v/>
      </c>
      <c r="E198">
        <f>IF(A198="", "", TODAY())</f>
        <v/>
      </c>
      <c r="F198">
        <f>IF(A198="", "", NOW())</f>
        <v/>
      </c>
      <c r="I198">
        <f>IF(K198="", "", IF(K198=0, "Repaid", IF(K198&lt;C198, "Partially Repaid", "Repaid")))</f>
        <v/>
      </c>
      <c r="K198">
        <f>IF(C198="", "", C198-J198)</f>
        <v/>
      </c>
    </row>
    <row r="199">
      <c r="B199">
        <f>IF(A199="", "", IFERROR(VLOOKUP(A199, "Employee Master"!$A:$B, 2, FALSE), ""))</f>
        <v/>
      </c>
      <c r="E199">
        <f>IF(A199="", "", TODAY())</f>
        <v/>
      </c>
      <c r="F199">
        <f>IF(A199="", "", NOW())</f>
        <v/>
      </c>
      <c r="I199">
        <f>IF(K199="", "", IF(K199=0, "Repaid", IF(K199&lt;C199, "Partially Repaid", "Repaid")))</f>
        <v/>
      </c>
      <c r="K199">
        <f>IF(C199="", "", C199-J199)</f>
        <v/>
      </c>
    </row>
    <row r="200">
      <c r="B200">
        <f>IF(A200="", "", IFERROR(VLOOKUP(A200, "Employee Master"!$A:$B, 2, FALSE), ""))</f>
        <v/>
      </c>
      <c r="E200">
        <f>IF(A200="", "", TODAY())</f>
        <v/>
      </c>
      <c r="F200">
        <f>IF(A200="", "", NOW())</f>
        <v/>
      </c>
      <c r="I200">
        <f>IF(K200="", "", IF(K200=0, "Repaid", IF(K200&lt;C200, "Partially Repaid", "Repaid")))</f>
        <v/>
      </c>
      <c r="K200">
        <f>IF(C200="", "", C200-J200)</f>
        <v/>
      </c>
    </row>
    <row r="201">
      <c r="B201">
        <f>IF(A201="", "", IFERROR(VLOOKUP(A201, "Employee Master"!$A:$B, 2, FALSE), ""))</f>
        <v/>
      </c>
      <c r="E201">
        <f>IF(A201="", "", TODAY())</f>
        <v/>
      </c>
      <c r="F201">
        <f>IF(A201="", "", NOW())</f>
        <v/>
      </c>
      <c r="I201">
        <f>IF(K201="", "", IF(K201=0, "Repaid", IF(K201&lt;C201, "Partially Repaid", "Repaid")))</f>
        <v/>
      </c>
      <c r="K201">
        <f>IF(C201="", "", C201-J201)</f>
        <v/>
      </c>
    </row>
  </sheetData>
  <conditionalFormatting sqref="I2:I201">
    <cfRule type="expression" priority="1" dxfId="0">
      <formula>$I2="Repaid"</formula>
    </cfRule>
    <cfRule type="expression" priority="2" dxfId="2">
      <formula>$I2="Partially Repaid"</formula>
    </cfRule>
    <cfRule type="expression" priority="3" dxfId="1">
      <formula>$I2="Pending"</formula>
    </cfRule>
  </conditionalFormatting>
  <dataValidations count="2">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showDropDown="0" showInputMessage="0" showErrorMessage="0" allowBlank="1" type="list">
      <formula1>"Salary Advance,Emergency,Travel,Other"</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showDropDown="0" showInputMessage="0" showErrorMessage="0" allowBlank="1" type="list">
      <formula1>"Salary Deduction,Cash,Bank Transfer"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s>
  <sheetData>
    <row r="1">
      <c r="A1" s="1" t="inlineStr">
        <is>
          <t>Emp No</t>
        </is>
      </c>
      <c r="B1" s="1" t="inlineStr">
        <is>
          <t>Employee Name</t>
        </is>
      </c>
      <c r="C1" s="1" t="inlineStr">
        <is>
          <t>Total Working Hours</t>
        </is>
      </c>
      <c r="D1" s="1" t="inlineStr">
        <is>
          <t>Total Overtime</t>
        </is>
      </c>
      <c r="E1" s="1" t="inlineStr">
        <is>
          <t>Total Advance Outstanding</t>
        </is>
      </c>
    </row>
    <row r="2">
      <c r="B2">
        <f>IF(A2="", "", IFERROR(VLOOKUP(A2, "Employee Master"!$A:$B, 2, FALSE), ""))</f>
        <v/>
      </c>
      <c r="C2">
        <f>IF(A2="", "", SUMIFS(Attendance!$I:$I, Attendance!$A:$A, A2, Attendance!$I:$I, "&gt;0"))</f>
        <v/>
      </c>
      <c r="D2">
        <f>IF(A2="", "", SUMIFS(Attendance!$J:$J, Attendance!$A:$A, A2, Attendance!$J:$J, "&gt;0"))</f>
        <v/>
      </c>
      <c r="E2">
        <f>IF(A2="", "", SUMIFS('Advance Money'!$K:$K, 'Advance Money'!$A:$A, A2))</f>
        <v/>
      </c>
    </row>
    <row r="3">
      <c r="B3">
        <f>IF(A3="", "", IFERROR(VLOOKUP(A3, "Employee Master"!$A:$B, 2, FALSE), ""))</f>
        <v/>
      </c>
      <c r="C3">
        <f>IF(A3="", "", SUMIFS(Attendance!$I:$I, Attendance!$A:$A, A3, Attendance!$I:$I, "&gt;0"))</f>
        <v/>
      </c>
      <c r="D3">
        <f>IF(A3="", "", SUMIFS(Attendance!$J:$J, Attendance!$A:$A, A3, Attendance!$J:$J, "&gt;0"))</f>
        <v/>
      </c>
      <c r="E3">
        <f>IF(A3="", "", SUMIFS('Advance Money'!$K:$K, 'Advance Money'!$A:$A, A3))</f>
        <v/>
      </c>
    </row>
    <row r="4">
      <c r="B4">
        <f>IF(A4="", "", IFERROR(VLOOKUP(A4, "Employee Master"!$A:$B, 2, FALSE), ""))</f>
        <v/>
      </c>
      <c r="C4">
        <f>IF(A4="", "", SUMIFS(Attendance!$I:$I, Attendance!$A:$A, A4, Attendance!$I:$I, "&gt;0"))</f>
        <v/>
      </c>
      <c r="D4">
        <f>IF(A4="", "", SUMIFS(Attendance!$J:$J, Attendance!$A:$A, A4, Attendance!$J:$J, "&gt;0"))</f>
        <v/>
      </c>
      <c r="E4">
        <f>IF(A4="", "", SUMIFS('Advance Money'!$K:$K, 'Advance Money'!$A:$A, A4))</f>
        <v/>
      </c>
    </row>
    <row r="5">
      <c r="B5">
        <f>IF(A5="", "", IFERROR(VLOOKUP(A5, "Employee Master"!$A:$B, 2, FALSE), ""))</f>
        <v/>
      </c>
      <c r="C5">
        <f>IF(A5="", "", SUMIFS(Attendance!$I:$I, Attendance!$A:$A, A5, Attendance!$I:$I, "&gt;0"))</f>
        <v/>
      </c>
      <c r="D5">
        <f>IF(A5="", "", SUMIFS(Attendance!$J:$J, Attendance!$A:$A, A5, Attendance!$J:$J, "&gt;0"))</f>
        <v/>
      </c>
      <c r="E5">
        <f>IF(A5="", "", SUMIFS('Advance Money'!$K:$K, 'Advance Money'!$A:$A, A5))</f>
        <v/>
      </c>
    </row>
    <row r="6">
      <c r="B6">
        <f>IF(A6="", "", IFERROR(VLOOKUP(A6, "Employee Master"!$A:$B, 2, FALSE), ""))</f>
        <v/>
      </c>
      <c r="C6">
        <f>IF(A6="", "", SUMIFS(Attendance!$I:$I, Attendance!$A:$A, A6, Attendance!$I:$I, "&gt;0"))</f>
        <v/>
      </c>
      <c r="D6">
        <f>IF(A6="", "", SUMIFS(Attendance!$J:$J, Attendance!$A:$A, A6, Attendance!$J:$J, "&gt;0"))</f>
        <v/>
      </c>
      <c r="E6">
        <f>IF(A6="", "", SUMIFS('Advance Money'!$K:$K, 'Advance Money'!$A:$A, A6))</f>
        <v/>
      </c>
    </row>
    <row r="7">
      <c r="B7">
        <f>IF(A7="", "", IFERROR(VLOOKUP(A7, "Employee Master"!$A:$B, 2, FALSE), ""))</f>
        <v/>
      </c>
      <c r="C7">
        <f>IF(A7="", "", SUMIFS(Attendance!$I:$I, Attendance!$A:$A, A7, Attendance!$I:$I, "&gt;0"))</f>
        <v/>
      </c>
      <c r="D7">
        <f>IF(A7="", "", SUMIFS(Attendance!$J:$J, Attendance!$A:$A, A7, Attendance!$J:$J, "&gt;0"))</f>
        <v/>
      </c>
      <c r="E7">
        <f>IF(A7="", "", SUMIFS('Advance Money'!$K:$K, 'Advance Money'!$A:$A, A7))</f>
        <v/>
      </c>
    </row>
    <row r="8">
      <c r="B8">
        <f>IF(A8="", "", IFERROR(VLOOKUP(A8, "Employee Master"!$A:$B, 2, FALSE), ""))</f>
        <v/>
      </c>
      <c r="C8">
        <f>IF(A8="", "", SUMIFS(Attendance!$I:$I, Attendance!$A:$A, A8, Attendance!$I:$I, "&gt;0"))</f>
        <v/>
      </c>
      <c r="D8">
        <f>IF(A8="", "", SUMIFS(Attendance!$J:$J, Attendance!$A:$A, A8, Attendance!$J:$J, "&gt;0"))</f>
        <v/>
      </c>
      <c r="E8">
        <f>IF(A8="", "", SUMIFS('Advance Money'!$K:$K, 'Advance Money'!$A:$A, A8))</f>
        <v/>
      </c>
    </row>
    <row r="9">
      <c r="B9">
        <f>IF(A9="", "", IFERROR(VLOOKUP(A9, "Employee Master"!$A:$B, 2, FALSE), ""))</f>
        <v/>
      </c>
      <c r="C9">
        <f>IF(A9="", "", SUMIFS(Attendance!$I:$I, Attendance!$A:$A, A9, Attendance!$I:$I, "&gt;0"))</f>
        <v/>
      </c>
      <c r="D9">
        <f>IF(A9="", "", SUMIFS(Attendance!$J:$J, Attendance!$A:$A, A9, Attendance!$J:$J, "&gt;0"))</f>
        <v/>
      </c>
      <c r="E9">
        <f>IF(A9="", "", SUMIFS('Advance Money'!$K:$K, 'Advance Money'!$A:$A, A9))</f>
        <v/>
      </c>
    </row>
    <row r="10">
      <c r="B10">
        <f>IF(A10="", "", IFERROR(VLOOKUP(A10, "Employee Master"!$A:$B, 2, FALSE), ""))</f>
        <v/>
      </c>
      <c r="C10">
        <f>IF(A10="", "", SUMIFS(Attendance!$I:$I, Attendance!$A:$A, A10, Attendance!$I:$I, "&gt;0"))</f>
        <v/>
      </c>
      <c r="D10">
        <f>IF(A10="", "", SUMIFS(Attendance!$J:$J, Attendance!$A:$A, A10, Attendance!$J:$J, "&gt;0"))</f>
        <v/>
      </c>
      <c r="E10">
        <f>IF(A10="", "", SUMIFS('Advance Money'!$K:$K, 'Advance Money'!$A:$A, A10))</f>
        <v/>
      </c>
    </row>
    <row r="11">
      <c r="B11">
        <f>IF(A11="", "", IFERROR(VLOOKUP(A11, "Employee Master"!$A:$B, 2, FALSE), ""))</f>
        <v/>
      </c>
      <c r="C11">
        <f>IF(A11="", "", SUMIFS(Attendance!$I:$I, Attendance!$A:$A, A11, Attendance!$I:$I, "&gt;0"))</f>
        <v/>
      </c>
      <c r="D11">
        <f>IF(A11="", "", SUMIFS(Attendance!$J:$J, Attendance!$A:$A, A11, Attendance!$J:$J, "&gt;0"))</f>
        <v/>
      </c>
      <c r="E11">
        <f>IF(A11="", "", SUMIFS('Advance Money'!$K:$K, 'Advance Money'!$A:$A, A11))</f>
        <v/>
      </c>
    </row>
    <row r="12">
      <c r="B12">
        <f>IF(A12="", "", IFERROR(VLOOKUP(A12, "Employee Master"!$A:$B, 2, FALSE), ""))</f>
        <v/>
      </c>
      <c r="C12">
        <f>IF(A12="", "", SUMIFS(Attendance!$I:$I, Attendance!$A:$A, A12, Attendance!$I:$I, "&gt;0"))</f>
        <v/>
      </c>
      <c r="D12">
        <f>IF(A12="", "", SUMIFS(Attendance!$J:$J, Attendance!$A:$A, A12, Attendance!$J:$J, "&gt;0"))</f>
        <v/>
      </c>
      <c r="E12">
        <f>IF(A12="", "", SUMIFS('Advance Money'!$K:$K, 'Advance Money'!$A:$A, A12))</f>
        <v/>
      </c>
    </row>
    <row r="13">
      <c r="B13">
        <f>IF(A13="", "", IFERROR(VLOOKUP(A13, "Employee Master"!$A:$B, 2, FALSE), ""))</f>
        <v/>
      </c>
      <c r="C13">
        <f>IF(A13="", "", SUMIFS(Attendance!$I:$I, Attendance!$A:$A, A13, Attendance!$I:$I, "&gt;0"))</f>
        <v/>
      </c>
      <c r="D13">
        <f>IF(A13="", "", SUMIFS(Attendance!$J:$J, Attendance!$A:$A, A13, Attendance!$J:$J, "&gt;0"))</f>
        <v/>
      </c>
      <c r="E13">
        <f>IF(A13="", "", SUMIFS('Advance Money'!$K:$K, 'Advance Money'!$A:$A, A13))</f>
        <v/>
      </c>
    </row>
    <row r="14">
      <c r="B14">
        <f>IF(A14="", "", IFERROR(VLOOKUP(A14, "Employee Master"!$A:$B, 2, FALSE), ""))</f>
        <v/>
      </c>
      <c r="C14">
        <f>IF(A14="", "", SUMIFS(Attendance!$I:$I, Attendance!$A:$A, A14, Attendance!$I:$I, "&gt;0"))</f>
        <v/>
      </c>
      <c r="D14">
        <f>IF(A14="", "", SUMIFS(Attendance!$J:$J, Attendance!$A:$A, A14, Attendance!$J:$J, "&gt;0"))</f>
        <v/>
      </c>
      <c r="E14">
        <f>IF(A14="", "", SUMIFS('Advance Money'!$K:$K, 'Advance Money'!$A:$A, A14))</f>
        <v/>
      </c>
    </row>
    <row r="15">
      <c r="B15">
        <f>IF(A15="", "", IFERROR(VLOOKUP(A15, "Employee Master"!$A:$B, 2, FALSE), ""))</f>
        <v/>
      </c>
      <c r="C15">
        <f>IF(A15="", "", SUMIFS(Attendance!$I:$I, Attendance!$A:$A, A15, Attendance!$I:$I, "&gt;0"))</f>
        <v/>
      </c>
      <c r="D15">
        <f>IF(A15="", "", SUMIFS(Attendance!$J:$J, Attendance!$A:$A, A15, Attendance!$J:$J, "&gt;0"))</f>
        <v/>
      </c>
      <c r="E15">
        <f>IF(A15="", "", SUMIFS('Advance Money'!$K:$K, 'Advance Money'!$A:$A, A15))</f>
        <v/>
      </c>
    </row>
    <row r="16">
      <c r="B16">
        <f>IF(A16="", "", IFERROR(VLOOKUP(A16, "Employee Master"!$A:$B, 2, FALSE), ""))</f>
        <v/>
      </c>
      <c r="C16">
        <f>IF(A16="", "", SUMIFS(Attendance!$I:$I, Attendance!$A:$A, A16, Attendance!$I:$I, "&gt;0"))</f>
        <v/>
      </c>
      <c r="D16">
        <f>IF(A16="", "", SUMIFS(Attendance!$J:$J, Attendance!$A:$A, A16, Attendance!$J:$J, "&gt;0"))</f>
        <v/>
      </c>
      <c r="E16">
        <f>IF(A16="", "", SUMIFS('Advance Money'!$K:$K, 'Advance Money'!$A:$A, A16))</f>
        <v/>
      </c>
    </row>
    <row r="17">
      <c r="B17">
        <f>IF(A17="", "", IFERROR(VLOOKUP(A17, "Employee Master"!$A:$B, 2, FALSE), ""))</f>
        <v/>
      </c>
      <c r="C17">
        <f>IF(A17="", "", SUMIFS(Attendance!$I:$I, Attendance!$A:$A, A17, Attendance!$I:$I, "&gt;0"))</f>
        <v/>
      </c>
      <c r="D17">
        <f>IF(A17="", "", SUMIFS(Attendance!$J:$J, Attendance!$A:$A, A17, Attendance!$J:$J, "&gt;0"))</f>
        <v/>
      </c>
      <c r="E17">
        <f>IF(A17="", "", SUMIFS('Advance Money'!$K:$K, 'Advance Money'!$A:$A, A17))</f>
        <v/>
      </c>
    </row>
    <row r="18">
      <c r="B18">
        <f>IF(A18="", "", IFERROR(VLOOKUP(A18, "Employee Master"!$A:$B, 2, FALSE), ""))</f>
        <v/>
      </c>
      <c r="C18">
        <f>IF(A18="", "", SUMIFS(Attendance!$I:$I, Attendance!$A:$A, A18, Attendance!$I:$I, "&gt;0"))</f>
        <v/>
      </c>
      <c r="D18">
        <f>IF(A18="", "", SUMIFS(Attendance!$J:$J, Attendance!$A:$A, A18, Attendance!$J:$J, "&gt;0"))</f>
        <v/>
      </c>
      <c r="E18">
        <f>IF(A18="", "", SUMIFS('Advance Money'!$K:$K, 'Advance Money'!$A:$A, A18))</f>
        <v/>
      </c>
    </row>
    <row r="19">
      <c r="B19">
        <f>IF(A19="", "", IFERROR(VLOOKUP(A19, "Employee Master"!$A:$B, 2, FALSE), ""))</f>
        <v/>
      </c>
      <c r="C19">
        <f>IF(A19="", "", SUMIFS(Attendance!$I:$I, Attendance!$A:$A, A19, Attendance!$I:$I, "&gt;0"))</f>
        <v/>
      </c>
      <c r="D19">
        <f>IF(A19="", "", SUMIFS(Attendance!$J:$J, Attendance!$A:$A, A19, Attendance!$J:$J, "&gt;0"))</f>
        <v/>
      </c>
      <c r="E19">
        <f>IF(A19="", "", SUMIFS('Advance Money'!$K:$K, 'Advance Money'!$A:$A, A19))</f>
        <v/>
      </c>
    </row>
    <row r="20">
      <c r="B20">
        <f>IF(A20="", "", IFERROR(VLOOKUP(A20, "Employee Master"!$A:$B, 2, FALSE), ""))</f>
        <v/>
      </c>
      <c r="C20">
        <f>IF(A20="", "", SUMIFS(Attendance!$I:$I, Attendance!$A:$A, A20, Attendance!$I:$I, "&gt;0"))</f>
        <v/>
      </c>
      <c r="D20">
        <f>IF(A20="", "", SUMIFS(Attendance!$J:$J, Attendance!$A:$A, A20, Attendance!$J:$J, "&gt;0"))</f>
        <v/>
      </c>
      <c r="E20">
        <f>IF(A20="", "", SUMIFS('Advance Money'!$K:$K, 'Advance Money'!$A:$A, A20))</f>
        <v/>
      </c>
    </row>
    <row r="21">
      <c r="B21">
        <f>IF(A21="", "", IFERROR(VLOOKUP(A21, "Employee Master"!$A:$B, 2, FALSE), ""))</f>
        <v/>
      </c>
      <c r="C21">
        <f>IF(A21="", "", SUMIFS(Attendance!$I:$I, Attendance!$A:$A, A21, Attendance!$I:$I, "&gt;0"))</f>
        <v/>
      </c>
      <c r="D21">
        <f>IF(A21="", "", SUMIFS(Attendance!$J:$J, Attendance!$A:$A, A21, Attendance!$J:$J, "&gt;0"))</f>
        <v/>
      </c>
      <c r="E21">
        <f>IF(A21="", "", SUMIFS('Advance Money'!$K:$K, 'Advance Money'!$A:$A, A21))</f>
        <v/>
      </c>
    </row>
    <row r="22">
      <c r="B22">
        <f>IF(A22="", "", IFERROR(VLOOKUP(A22, "Employee Master"!$A:$B, 2, FALSE), ""))</f>
        <v/>
      </c>
      <c r="C22">
        <f>IF(A22="", "", SUMIFS(Attendance!$I:$I, Attendance!$A:$A, A22, Attendance!$I:$I, "&gt;0"))</f>
        <v/>
      </c>
      <c r="D22">
        <f>IF(A22="", "", SUMIFS(Attendance!$J:$J, Attendance!$A:$A, A22, Attendance!$J:$J, "&gt;0"))</f>
        <v/>
      </c>
      <c r="E22">
        <f>IF(A22="", "", SUMIFS('Advance Money'!$K:$K, 'Advance Money'!$A:$A, A22))</f>
        <v/>
      </c>
    </row>
    <row r="23">
      <c r="B23">
        <f>IF(A23="", "", IFERROR(VLOOKUP(A23, "Employee Master"!$A:$B, 2, FALSE), ""))</f>
        <v/>
      </c>
      <c r="C23">
        <f>IF(A23="", "", SUMIFS(Attendance!$I:$I, Attendance!$A:$A, A23, Attendance!$I:$I, "&gt;0"))</f>
        <v/>
      </c>
      <c r="D23">
        <f>IF(A23="", "", SUMIFS(Attendance!$J:$J, Attendance!$A:$A, A23, Attendance!$J:$J, "&gt;0"))</f>
        <v/>
      </c>
      <c r="E23">
        <f>IF(A23="", "", SUMIFS('Advance Money'!$K:$K, 'Advance Money'!$A:$A, A23))</f>
        <v/>
      </c>
    </row>
    <row r="24">
      <c r="B24">
        <f>IF(A24="", "", IFERROR(VLOOKUP(A24, "Employee Master"!$A:$B, 2, FALSE), ""))</f>
        <v/>
      </c>
      <c r="C24">
        <f>IF(A24="", "", SUMIFS(Attendance!$I:$I, Attendance!$A:$A, A24, Attendance!$I:$I, "&gt;0"))</f>
        <v/>
      </c>
      <c r="D24">
        <f>IF(A24="", "", SUMIFS(Attendance!$J:$J, Attendance!$A:$A, A24, Attendance!$J:$J, "&gt;0"))</f>
        <v/>
      </c>
      <c r="E24">
        <f>IF(A24="", "", SUMIFS('Advance Money'!$K:$K, 'Advance Money'!$A:$A, A24))</f>
        <v/>
      </c>
    </row>
    <row r="25">
      <c r="B25">
        <f>IF(A25="", "", IFERROR(VLOOKUP(A25, "Employee Master"!$A:$B, 2, FALSE), ""))</f>
        <v/>
      </c>
      <c r="C25">
        <f>IF(A25="", "", SUMIFS(Attendance!$I:$I, Attendance!$A:$A, A25, Attendance!$I:$I, "&gt;0"))</f>
        <v/>
      </c>
      <c r="D25">
        <f>IF(A25="", "", SUMIFS(Attendance!$J:$J, Attendance!$A:$A, A25, Attendance!$J:$J, "&gt;0"))</f>
        <v/>
      </c>
      <c r="E25">
        <f>IF(A25="", "", SUMIFS('Advance Money'!$K:$K, 'Advance Money'!$A:$A, A25))</f>
        <v/>
      </c>
    </row>
    <row r="26">
      <c r="B26">
        <f>IF(A26="", "", IFERROR(VLOOKUP(A26, "Employee Master"!$A:$B, 2, FALSE), ""))</f>
        <v/>
      </c>
      <c r="C26">
        <f>IF(A26="", "", SUMIFS(Attendance!$I:$I, Attendance!$A:$A, A26, Attendance!$I:$I, "&gt;0"))</f>
        <v/>
      </c>
      <c r="D26">
        <f>IF(A26="", "", SUMIFS(Attendance!$J:$J, Attendance!$A:$A, A26, Attendance!$J:$J, "&gt;0"))</f>
        <v/>
      </c>
      <c r="E26">
        <f>IF(A26="", "", SUMIFS('Advance Money'!$K:$K, 'Advance Money'!$A:$A, A26))</f>
        <v/>
      </c>
    </row>
    <row r="27">
      <c r="B27">
        <f>IF(A27="", "", IFERROR(VLOOKUP(A27, "Employee Master"!$A:$B, 2, FALSE), ""))</f>
        <v/>
      </c>
      <c r="C27">
        <f>IF(A27="", "", SUMIFS(Attendance!$I:$I, Attendance!$A:$A, A27, Attendance!$I:$I, "&gt;0"))</f>
        <v/>
      </c>
      <c r="D27">
        <f>IF(A27="", "", SUMIFS(Attendance!$J:$J, Attendance!$A:$A, A27, Attendance!$J:$J, "&gt;0"))</f>
        <v/>
      </c>
      <c r="E27">
        <f>IF(A27="", "", SUMIFS('Advance Money'!$K:$K, 'Advance Money'!$A:$A, A27))</f>
        <v/>
      </c>
    </row>
    <row r="28">
      <c r="B28">
        <f>IF(A28="", "", IFERROR(VLOOKUP(A28, "Employee Master"!$A:$B, 2, FALSE), ""))</f>
        <v/>
      </c>
      <c r="C28">
        <f>IF(A28="", "", SUMIFS(Attendance!$I:$I, Attendance!$A:$A, A28, Attendance!$I:$I, "&gt;0"))</f>
        <v/>
      </c>
      <c r="D28">
        <f>IF(A28="", "", SUMIFS(Attendance!$J:$J, Attendance!$A:$A, A28, Attendance!$J:$J, "&gt;0"))</f>
        <v/>
      </c>
      <c r="E28">
        <f>IF(A28="", "", SUMIFS('Advance Money'!$K:$K, 'Advance Money'!$A:$A, A28))</f>
        <v/>
      </c>
    </row>
    <row r="29">
      <c r="B29">
        <f>IF(A29="", "", IFERROR(VLOOKUP(A29, "Employee Master"!$A:$B, 2, FALSE), ""))</f>
        <v/>
      </c>
      <c r="C29">
        <f>IF(A29="", "", SUMIFS(Attendance!$I:$I, Attendance!$A:$A, A29, Attendance!$I:$I, "&gt;0"))</f>
        <v/>
      </c>
      <c r="D29">
        <f>IF(A29="", "", SUMIFS(Attendance!$J:$J, Attendance!$A:$A, A29, Attendance!$J:$J, "&gt;0"))</f>
        <v/>
      </c>
      <c r="E29">
        <f>IF(A29="", "", SUMIFS('Advance Money'!$K:$K, 'Advance Money'!$A:$A, A29))</f>
        <v/>
      </c>
    </row>
    <row r="30">
      <c r="B30">
        <f>IF(A30="", "", IFERROR(VLOOKUP(A30, "Employee Master"!$A:$B, 2, FALSE), ""))</f>
        <v/>
      </c>
      <c r="C30">
        <f>IF(A30="", "", SUMIFS(Attendance!$I:$I, Attendance!$A:$A, A30, Attendance!$I:$I, "&gt;0"))</f>
        <v/>
      </c>
      <c r="D30">
        <f>IF(A30="", "", SUMIFS(Attendance!$J:$J, Attendance!$A:$A, A30, Attendance!$J:$J, "&gt;0"))</f>
        <v/>
      </c>
      <c r="E30">
        <f>IF(A30="", "", SUMIFS('Advance Money'!$K:$K, 'Advance Money'!$A:$A, A30))</f>
        <v/>
      </c>
    </row>
    <row r="31">
      <c r="B31">
        <f>IF(A31="", "", IFERROR(VLOOKUP(A31, "Employee Master"!$A:$B, 2, FALSE), ""))</f>
        <v/>
      </c>
      <c r="C31">
        <f>IF(A31="", "", SUMIFS(Attendance!$I:$I, Attendance!$A:$A, A31, Attendance!$I:$I, "&gt;0"))</f>
        <v/>
      </c>
      <c r="D31">
        <f>IF(A31="", "", SUMIFS(Attendance!$J:$J, Attendance!$A:$A, A31, Attendance!$J:$J, "&gt;0"))</f>
        <v/>
      </c>
      <c r="E31">
        <f>IF(A31="", "", SUMIFS('Advance Money'!$K:$K, 'Advance Money'!$A:$A, A31))</f>
        <v/>
      </c>
    </row>
    <row r="32">
      <c r="B32">
        <f>IF(A32="", "", IFERROR(VLOOKUP(A32, "Employee Master"!$A:$B, 2, FALSE), ""))</f>
        <v/>
      </c>
      <c r="C32">
        <f>IF(A32="", "", SUMIFS(Attendance!$I:$I, Attendance!$A:$A, A32, Attendance!$I:$I, "&gt;0"))</f>
        <v/>
      </c>
      <c r="D32">
        <f>IF(A32="", "", SUMIFS(Attendance!$J:$J, Attendance!$A:$A, A32, Attendance!$J:$J, "&gt;0"))</f>
        <v/>
      </c>
      <c r="E32">
        <f>IF(A32="", "", SUMIFS('Advance Money'!$K:$K, 'Advance Money'!$A:$A, A32))</f>
        <v/>
      </c>
    </row>
    <row r="33">
      <c r="B33">
        <f>IF(A33="", "", IFERROR(VLOOKUP(A33, "Employee Master"!$A:$B, 2, FALSE), ""))</f>
        <v/>
      </c>
      <c r="C33">
        <f>IF(A33="", "", SUMIFS(Attendance!$I:$I, Attendance!$A:$A, A33, Attendance!$I:$I, "&gt;0"))</f>
        <v/>
      </c>
      <c r="D33">
        <f>IF(A33="", "", SUMIFS(Attendance!$J:$J, Attendance!$A:$A, A33, Attendance!$J:$J, "&gt;0"))</f>
        <v/>
      </c>
      <c r="E33">
        <f>IF(A33="", "", SUMIFS('Advance Money'!$K:$K, 'Advance Money'!$A:$A, A33))</f>
        <v/>
      </c>
    </row>
    <row r="34">
      <c r="B34">
        <f>IF(A34="", "", IFERROR(VLOOKUP(A34, "Employee Master"!$A:$B, 2, FALSE), ""))</f>
        <v/>
      </c>
      <c r="C34">
        <f>IF(A34="", "", SUMIFS(Attendance!$I:$I, Attendance!$A:$A, A34, Attendance!$I:$I, "&gt;0"))</f>
        <v/>
      </c>
      <c r="D34">
        <f>IF(A34="", "", SUMIFS(Attendance!$J:$J, Attendance!$A:$A, A34, Attendance!$J:$J, "&gt;0"))</f>
        <v/>
      </c>
      <c r="E34">
        <f>IF(A34="", "", SUMIFS('Advance Money'!$K:$K, 'Advance Money'!$A:$A, A34))</f>
        <v/>
      </c>
    </row>
    <row r="35">
      <c r="B35">
        <f>IF(A35="", "", IFERROR(VLOOKUP(A35, "Employee Master"!$A:$B, 2, FALSE), ""))</f>
        <v/>
      </c>
      <c r="C35">
        <f>IF(A35="", "", SUMIFS(Attendance!$I:$I, Attendance!$A:$A, A35, Attendance!$I:$I, "&gt;0"))</f>
        <v/>
      </c>
      <c r="D35">
        <f>IF(A35="", "", SUMIFS(Attendance!$J:$J, Attendance!$A:$A, A35, Attendance!$J:$J, "&gt;0"))</f>
        <v/>
      </c>
      <c r="E35">
        <f>IF(A35="", "", SUMIFS('Advance Money'!$K:$K, 'Advance Money'!$A:$A, A35))</f>
        <v/>
      </c>
    </row>
    <row r="36">
      <c r="B36">
        <f>IF(A36="", "", IFERROR(VLOOKUP(A36, "Employee Master"!$A:$B, 2, FALSE), ""))</f>
        <v/>
      </c>
      <c r="C36">
        <f>IF(A36="", "", SUMIFS(Attendance!$I:$I, Attendance!$A:$A, A36, Attendance!$I:$I, "&gt;0"))</f>
        <v/>
      </c>
      <c r="D36">
        <f>IF(A36="", "", SUMIFS(Attendance!$J:$J, Attendance!$A:$A, A36, Attendance!$J:$J, "&gt;0"))</f>
        <v/>
      </c>
      <c r="E36">
        <f>IF(A36="", "", SUMIFS('Advance Money'!$K:$K, 'Advance Money'!$A:$A, A36))</f>
        <v/>
      </c>
    </row>
    <row r="37">
      <c r="B37">
        <f>IF(A37="", "", IFERROR(VLOOKUP(A37, "Employee Master"!$A:$B, 2, FALSE), ""))</f>
        <v/>
      </c>
      <c r="C37">
        <f>IF(A37="", "", SUMIFS(Attendance!$I:$I, Attendance!$A:$A, A37, Attendance!$I:$I, "&gt;0"))</f>
        <v/>
      </c>
      <c r="D37">
        <f>IF(A37="", "", SUMIFS(Attendance!$J:$J, Attendance!$A:$A, A37, Attendance!$J:$J, "&gt;0"))</f>
        <v/>
      </c>
      <c r="E37">
        <f>IF(A37="", "", SUMIFS('Advance Money'!$K:$K, 'Advance Money'!$A:$A, A37))</f>
        <v/>
      </c>
    </row>
    <row r="38">
      <c r="B38">
        <f>IF(A38="", "", IFERROR(VLOOKUP(A38, "Employee Master"!$A:$B, 2, FALSE), ""))</f>
        <v/>
      </c>
      <c r="C38">
        <f>IF(A38="", "", SUMIFS(Attendance!$I:$I, Attendance!$A:$A, A38, Attendance!$I:$I, "&gt;0"))</f>
        <v/>
      </c>
      <c r="D38">
        <f>IF(A38="", "", SUMIFS(Attendance!$J:$J, Attendance!$A:$A, A38, Attendance!$J:$J, "&gt;0"))</f>
        <v/>
      </c>
      <c r="E38">
        <f>IF(A38="", "", SUMIFS('Advance Money'!$K:$K, 'Advance Money'!$A:$A, A38))</f>
        <v/>
      </c>
    </row>
    <row r="39">
      <c r="B39">
        <f>IF(A39="", "", IFERROR(VLOOKUP(A39, "Employee Master"!$A:$B, 2, FALSE), ""))</f>
        <v/>
      </c>
      <c r="C39">
        <f>IF(A39="", "", SUMIFS(Attendance!$I:$I, Attendance!$A:$A, A39, Attendance!$I:$I, "&gt;0"))</f>
        <v/>
      </c>
      <c r="D39">
        <f>IF(A39="", "", SUMIFS(Attendance!$J:$J, Attendance!$A:$A, A39, Attendance!$J:$J, "&gt;0"))</f>
        <v/>
      </c>
      <c r="E39">
        <f>IF(A39="", "", SUMIFS('Advance Money'!$K:$K, 'Advance Money'!$A:$A, A39))</f>
        <v/>
      </c>
    </row>
    <row r="40">
      <c r="B40">
        <f>IF(A40="", "", IFERROR(VLOOKUP(A40, "Employee Master"!$A:$B, 2, FALSE), ""))</f>
        <v/>
      </c>
      <c r="C40">
        <f>IF(A40="", "", SUMIFS(Attendance!$I:$I, Attendance!$A:$A, A40, Attendance!$I:$I, "&gt;0"))</f>
        <v/>
      </c>
      <c r="D40">
        <f>IF(A40="", "", SUMIFS(Attendance!$J:$J, Attendance!$A:$A, A40, Attendance!$J:$J, "&gt;0"))</f>
        <v/>
      </c>
      <c r="E40">
        <f>IF(A40="", "", SUMIFS('Advance Money'!$K:$K, 'Advance Money'!$A:$A, A40))</f>
        <v/>
      </c>
    </row>
    <row r="41">
      <c r="B41">
        <f>IF(A41="", "", IFERROR(VLOOKUP(A41, "Employee Master"!$A:$B, 2, FALSE), ""))</f>
        <v/>
      </c>
      <c r="C41">
        <f>IF(A41="", "", SUMIFS(Attendance!$I:$I, Attendance!$A:$A, A41, Attendance!$I:$I, "&gt;0"))</f>
        <v/>
      </c>
      <c r="D41">
        <f>IF(A41="", "", SUMIFS(Attendance!$J:$J, Attendance!$A:$A, A41, Attendance!$J:$J, "&gt;0"))</f>
        <v/>
      </c>
      <c r="E41">
        <f>IF(A41="", "", SUMIFS('Advance Money'!$K:$K, 'Advance Money'!$A:$A, A41))</f>
        <v/>
      </c>
    </row>
    <row r="42">
      <c r="B42">
        <f>IF(A42="", "", IFERROR(VLOOKUP(A42, "Employee Master"!$A:$B, 2, FALSE), ""))</f>
        <v/>
      </c>
      <c r="C42">
        <f>IF(A42="", "", SUMIFS(Attendance!$I:$I, Attendance!$A:$A, A42, Attendance!$I:$I, "&gt;0"))</f>
        <v/>
      </c>
      <c r="D42">
        <f>IF(A42="", "", SUMIFS(Attendance!$J:$J, Attendance!$A:$A, A42, Attendance!$J:$J, "&gt;0"))</f>
        <v/>
      </c>
      <c r="E42">
        <f>IF(A42="", "", SUMIFS('Advance Money'!$K:$K, 'Advance Money'!$A:$A, A42))</f>
        <v/>
      </c>
    </row>
    <row r="43">
      <c r="B43">
        <f>IF(A43="", "", IFERROR(VLOOKUP(A43, "Employee Master"!$A:$B, 2, FALSE), ""))</f>
        <v/>
      </c>
      <c r="C43">
        <f>IF(A43="", "", SUMIFS(Attendance!$I:$I, Attendance!$A:$A, A43, Attendance!$I:$I, "&gt;0"))</f>
        <v/>
      </c>
      <c r="D43">
        <f>IF(A43="", "", SUMIFS(Attendance!$J:$J, Attendance!$A:$A, A43, Attendance!$J:$J, "&gt;0"))</f>
        <v/>
      </c>
      <c r="E43">
        <f>IF(A43="", "", SUMIFS('Advance Money'!$K:$K, 'Advance Money'!$A:$A, A43))</f>
        <v/>
      </c>
    </row>
    <row r="44">
      <c r="B44">
        <f>IF(A44="", "", IFERROR(VLOOKUP(A44, "Employee Master"!$A:$B, 2, FALSE), ""))</f>
        <v/>
      </c>
      <c r="C44">
        <f>IF(A44="", "", SUMIFS(Attendance!$I:$I, Attendance!$A:$A, A44, Attendance!$I:$I, "&gt;0"))</f>
        <v/>
      </c>
      <c r="D44">
        <f>IF(A44="", "", SUMIFS(Attendance!$J:$J, Attendance!$A:$A, A44, Attendance!$J:$J, "&gt;0"))</f>
        <v/>
      </c>
      <c r="E44">
        <f>IF(A44="", "", SUMIFS('Advance Money'!$K:$K, 'Advance Money'!$A:$A, A44))</f>
        <v/>
      </c>
    </row>
    <row r="45">
      <c r="B45">
        <f>IF(A45="", "", IFERROR(VLOOKUP(A45, "Employee Master"!$A:$B, 2, FALSE), ""))</f>
        <v/>
      </c>
      <c r="C45">
        <f>IF(A45="", "", SUMIFS(Attendance!$I:$I, Attendance!$A:$A, A45, Attendance!$I:$I, "&gt;0"))</f>
        <v/>
      </c>
      <c r="D45">
        <f>IF(A45="", "", SUMIFS(Attendance!$J:$J, Attendance!$A:$A, A45, Attendance!$J:$J, "&gt;0"))</f>
        <v/>
      </c>
      <c r="E45">
        <f>IF(A45="", "", SUMIFS('Advance Money'!$K:$K, 'Advance Money'!$A:$A, A45))</f>
        <v/>
      </c>
    </row>
    <row r="46">
      <c r="B46">
        <f>IF(A46="", "", IFERROR(VLOOKUP(A46, "Employee Master"!$A:$B, 2, FALSE), ""))</f>
        <v/>
      </c>
      <c r="C46">
        <f>IF(A46="", "", SUMIFS(Attendance!$I:$I, Attendance!$A:$A, A46, Attendance!$I:$I, "&gt;0"))</f>
        <v/>
      </c>
      <c r="D46">
        <f>IF(A46="", "", SUMIFS(Attendance!$J:$J, Attendance!$A:$A, A46, Attendance!$J:$J, "&gt;0"))</f>
        <v/>
      </c>
      <c r="E46">
        <f>IF(A46="", "", SUMIFS('Advance Money'!$K:$K, 'Advance Money'!$A:$A, A46))</f>
        <v/>
      </c>
    </row>
    <row r="47">
      <c r="B47">
        <f>IF(A47="", "", IFERROR(VLOOKUP(A47, "Employee Master"!$A:$B, 2, FALSE), ""))</f>
        <v/>
      </c>
      <c r="C47">
        <f>IF(A47="", "", SUMIFS(Attendance!$I:$I, Attendance!$A:$A, A47, Attendance!$I:$I, "&gt;0"))</f>
        <v/>
      </c>
      <c r="D47">
        <f>IF(A47="", "", SUMIFS(Attendance!$J:$J, Attendance!$A:$A, A47, Attendance!$J:$J, "&gt;0"))</f>
        <v/>
      </c>
      <c r="E47">
        <f>IF(A47="", "", SUMIFS('Advance Money'!$K:$K, 'Advance Money'!$A:$A, A47))</f>
        <v/>
      </c>
    </row>
    <row r="48">
      <c r="B48">
        <f>IF(A48="", "", IFERROR(VLOOKUP(A48, "Employee Master"!$A:$B, 2, FALSE), ""))</f>
        <v/>
      </c>
      <c r="C48">
        <f>IF(A48="", "", SUMIFS(Attendance!$I:$I, Attendance!$A:$A, A48, Attendance!$I:$I, "&gt;0"))</f>
        <v/>
      </c>
      <c r="D48">
        <f>IF(A48="", "", SUMIFS(Attendance!$J:$J, Attendance!$A:$A, A48, Attendance!$J:$J, "&gt;0"))</f>
        <v/>
      </c>
      <c r="E48">
        <f>IF(A48="", "", SUMIFS('Advance Money'!$K:$K, 'Advance Money'!$A:$A, A48))</f>
        <v/>
      </c>
    </row>
    <row r="49">
      <c r="B49">
        <f>IF(A49="", "", IFERROR(VLOOKUP(A49, "Employee Master"!$A:$B, 2, FALSE), ""))</f>
        <v/>
      </c>
      <c r="C49">
        <f>IF(A49="", "", SUMIFS(Attendance!$I:$I, Attendance!$A:$A, A49, Attendance!$I:$I, "&gt;0"))</f>
        <v/>
      </c>
      <c r="D49">
        <f>IF(A49="", "", SUMIFS(Attendance!$J:$J, Attendance!$A:$A, A49, Attendance!$J:$J, "&gt;0"))</f>
        <v/>
      </c>
      <c r="E49">
        <f>IF(A49="", "", SUMIFS('Advance Money'!$K:$K, 'Advance Money'!$A:$A, A49))</f>
        <v/>
      </c>
    </row>
    <row r="50">
      <c r="B50">
        <f>IF(A50="", "", IFERROR(VLOOKUP(A50, "Employee Master"!$A:$B, 2, FALSE), ""))</f>
        <v/>
      </c>
      <c r="C50">
        <f>IF(A50="", "", SUMIFS(Attendance!$I:$I, Attendance!$A:$A, A50, Attendance!$I:$I, "&gt;0"))</f>
        <v/>
      </c>
      <c r="D50">
        <f>IF(A50="", "", SUMIFS(Attendance!$J:$J, Attendance!$A:$A, A50, Attendance!$J:$J, "&gt;0"))</f>
        <v/>
      </c>
      <c r="E50">
        <f>IF(A50="", "", SUMIFS('Advance Money'!$K:$K, 'Advance Money'!$A:$A, A50))</f>
        <v/>
      </c>
    </row>
    <row r="51">
      <c r="B51">
        <f>IF(A51="", "", IFERROR(VLOOKUP(A51, "Employee Master"!$A:$B, 2, FALSE), ""))</f>
        <v/>
      </c>
      <c r="C51">
        <f>IF(A51="", "", SUMIFS(Attendance!$I:$I, Attendance!$A:$A, A51, Attendance!$I:$I, "&gt;0"))</f>
        <v/>
      </c>
      <c r="D51">
        <f>IF(A51="", "", SUMIFS(Attendance!$J:$J, Attendance!$A:$A, A51, Attendance!$J:$J, "&gt;0"))</f>
        <v/>
      </c>
      <c r="E51">
        <f>IF(A51="", "", SUMIFS('Advance Money'!$K:$K, 'Advance Money'!$A:$A, A51))</f>
        <v/>
      </c>
    </row>
    <row r="52">
      <c r="B52">
        <f>IF(A52="", "", IFERROR(VLOOKUP(A52, "Employee Master"!$A:$B, 2, FALSE), ""))</f>
        <v/>
      </c>
      <c r="C52">
        <f>IF(A52="", "", SUMIFS(Attendance!$I:$I, Attendance!$A:$A, A52, Attendance!$I:$I, "&gt;0"))</f>
        <v/>
      </c>
      <c r="D52">
        <f>IF(A52="", "", SUMIFS(Attendance!$J:$J, Attendance!$A:$A, A52, Attendance!$J:$J, "&gt;0"))</f>
        <v/>
      </c>
      <c r="E52">
        <f>IF(A52="", "", SUMIFS('Advance Money'!$K:$K, 'Advance Money'!$A:$A, A52))</f>
        <v/>
      </c>
    </row>
    <row r="53">
      <c r="B53">
        <f>IF(A53="", "", IFERROR(VLOOKUP(A53, "Employee Master"!$A:$B, 2, FALSE), ""))</f>
        <v/>
      </c>
      <c r="C53">
        <f>IF(A53="", "", SUMIFS(Attendance!$I:$I, Attendance!$A:$A, A53, Attendance!$I:$I, "&gt;0"))</f>
        <v/>
      </c>
      <c r="D53">
        <f>IF(A53="", "", SUMIFS(Attendance!$J:$J, Attendance!$A:$A, A53, Attendance!$J:$J, "&gt;0"))</f>
        <v/>
      </c>
      <c r="E53">
        <f>IF(A53="", "", SUMIFS('Advance Money'!$K:$K, 'Advance Money'!$A:$A, A53))</f>
        <v/>
      </c>
    </row>
    <row r="54">
      <c r="B54">
        <f>IF(A54="", "", IFERROR(VLOOKUP(A54, "Employee Master"!$A:$B, 2, FALSE), ""))</f>
        <v/>
      </c>
      <c r="C54">
        <f>IF(A54="", "", SUMIFS(Attendance!$I:$I, Attendance!$A:$A, A54, Attendance!$I:$I, "&gt;0"))</f>
        <v/>
      </c>
      <c r="D54">
        <f>IF(A54="", "", SUMIFS(Attendance!$J:$J, Attendance!$A:$A, A54, Attendance!$J:$J, "&gt;0"))</f>
        <v/>
      </c>
      <c r="E54">
        <f>IF(A54="", "", SUMIFS('Advance Money'!$K:$K, 'Advance Money'!$A:$A, A54))</f>
        <v/>
      </c>
    </row>
    <row r="55">
      <c r="B55">
        <f>IF(A55="", "", IFERROR(VLOOKUP(A55, "Employee Master"!$A:$B, 2, FALSE), ""))</f>
        <v/>
      </c>
      <c r="C55">
        <f>IF(A55="", "", SUMIFS(Attendance!$I:$I, Attendance!$A:$A, A55, Attendance!$I:$I, "&gt;0"))</f>
        <v/>
      </c>
      <c r="D55">
        <f>IF(A55="", "", SUMIFS(Attendance!$J:$J, Attendance!$A:$A, A55, Attendance!$J:$J, "&gt;0"))</f>
        <v/>
      </c>
      <c r="E55">
        <f>IF(A55="", "", SUMIFS('Advance Money'!$K:$K, 'Advance Money'!$A:$A, A55))</f>
        <v/>
      </c>
    </row>
    <row r="56">
      <c r="B56">
        <f>IF(A56="", "", IFERROR(VLOOKUP(A56, "Employee Master"!$A:$B, 2, FALSE), ""))</f>
        <v/>
      </c>
      <c r="C56">
        <f>IF(A56="", "", SUMIFS(Attendance!$I:$I, Attendance!$A:$A, A56, Attendance!$I:$I, "&gt;0"))</f>
        <v/>
      </c>
      <c r="D56">
        <f>IF(A56="", "", SUMIFS(Attendance!$J:$J, Attendance!$A:$A, A56, Attendance!$J:$J, "&gt;0"))</f>
        <v/>
      </c>
      <c r="E56">
        <f>IF(A56="", "", SUMIFS('Advance Money'!$K:$K, 'Advance Money'!$A:$A, A56))</f>
        <v/>
      </c>
    </row>
    <row r="57">
      <c r="B57">
        <f>IF(A57="", "", IFERROR(VLOOKUP(A57, "Employee Master"!$A:$B, 2, FALSE), ""))</f>
        <v/>
      </c>
      <c r="C57">
        <f>IF(A57="", "", SUMIFS(Attendance!$I:$I, Attendance!$A:$A, A57, Attendance!$I:$I, "&gt;0"))</f>
        <v/>
      </c>
      <c r="D57">
        <f>IF(A57="", "", SUMIFS(Attendance!$J:$J, Attendance!$A:$A, A57, Attendance!$J:$J, "&gt;0"))</f>
        <v/>
      </c>
      <c r="E57">
        <f>IF(A57="", "", SUMIFS('Advance Money'!$K:$K, 'Advance Money'!$A:$A, A57))</f>
        <v/>
      </c>
    </row>
    <row r="58">
      <c r="B58">
        <f>IF(A58="", "", IFERROR(VLOOKUP(A58, "Employee Master"!$A:$B, 2, FALSE), ""))</f>
        <v/>
      </c>
      <c r="C58">
        <f>IF(A58="", "", SUMIFS(Attendance!$I:$I, Attendance!$A:$A, A58, Attendance!$I:$I, "&gt;0"))</f>
        <v/>
      </c>
      <c r="D58">
        <f>IF(A58="", "", SUMIFS(Attendance!$J:$J, Attendance!$A:$A, A58, Attendance!$J:$J, "&gt;0"))</f>
        <v/>
      </c>
      <c r="E58">
        <f>IF(A58="", "", SUMIFS('Advance Money'!$K:$K, 'Advance Money'!$A:$A, A58))</f>
        <v/>
      </c>
    </row>
    <row r="59">
      <c r="B59">
        <f>IF(A59="", "", IFERROR(VLOOKUP(A59, "Employee Master"!$A:$B, 2, FALSE), ""))</f>
        <v/>
      </c>
      <c r="C59">
        <f>IF(A59="", "", SUMIFS(Attendance!$I:$I, Attendance!$A:$A, A59, Attendance!$I:$I, "&gt;0"))</f>
        <v/>
      </c>
      <c r="D59">
        <f>IF(A59="", "", SUMIFS(Attendance!$J:$J, Attendance!$A:$A, A59, Attendance!$J:$J, "&gt;0"))</f>
        <v/>
      </c>
      <c r="E59">
        <f>IF(A59="", "", SUMIFS('Advance Money'!$K:$K, 'Advance Money'!$A:$A, A59))</f>
        <v/>
      </c>
    </row>
    <row r="60">
      <c r="B60">
        <f>IF(A60="", "", IFERROR(VLOOKUP(A60, "Employee Master"!$A:$B, 2, FALSE), ""))</f>
        <v/>
      </c>
      <c r="C60">
        <f>IF(A60="", "", SUMIFS(Attendance!$I:$I, Attendance!$A:$A, A60, Attendance!$I:$I, "&gt;0"))</f>
        <v/>
      </c>
      <c r="D60">
        <f>IF(A60="", "", SUMIFS(Attendance!$J:$J, Attendance!$A:$A, A60, Attendance!$J:$J, "&gt;0"))</f>
        <v/>
      </c>
      <c r="E60">
        <f>IF(A60="", "", SUMIFS('Advance Money'!$K:$K, 'Advance Money'!$A:$A, A60))</f>
        <v/>
      </c>
    </row>
    <row r="61">
      <c r="B61">
        <f>IF(A61="", "", IFERROR(VLOOKUP(A61, "Employee Master"!$A:$B, 2, FALSE), ""))</f>
        <v/>
      </c>
      <c r="C61">
        <f>IF(A61="", "", SUMIFS(Attendance!$I:$I, Attendance!$A:$A, A61, Attendance!$I:$I, "&gt;0"))</f>
        <v/>
      </c>
      <c r="D61">
        <f>IF(A61="", "", SUMIFS(Attendance!$J:$J, Attendance!$A:$A, A61, Attendance!$J:$J, "&gt;0"))</f>
        <v/>
      </c>
      <c r="E61">
        <f>IF(A61="", "", SUMIFS('Advance Money'!$K:$K, 'Advance Money'!$A:$A, A61))</f>
        <v/>
      </c>
    </row>
    <row r="62">
      <c r="B62">
        <f>IF(A62="", "", IFERROR(VLOOKUP(A62, "Employee Master"!$A:$B, 2, FALSE), ""))</f>
        <v/>
      </c>
      <c r="C62">
        <f>IF(A62="", "", SUMIFS(Attendance!$I:$I, Attendance!$A:$A, A62, Attendance!$I:$I, "&gt;0"))</f>
        <v/>
      </c>
      <c r="D62">
        <f>IF(A62="", "", SUMIFS(Attendance!$J:$J, Attendance!$A:$A, A62, Attendance!$J:$J, "&gt;0"))</f>
        <v/>
      </c>
      <c r="E62">
        <f>IF(A62="", "", SUMIFS('Advance Money'!$K:$K, 'Advance Money'!$A:$A, A62))</f>
        <v/>
      </c>
    </row>
    <row r="63">
      <c r="B63">
        <f>IF(A63="", "", IFERROR(VLOOKUP(A63, "Employee Master"!$A:$B, 2, FALSE), ""))</f>
        <v/>
      </c>
      <c r="C63">
        <f>IF(A63="", "", SUMIFS(Attendance!$I:$I, Attendance!$A:$A, A63, Attendance!$I:$I, "&gt;0"))</f>
        <v/>
      </c>
      <c r="D63">
        <f>IF(A63="", "", SUMIFS(Attendance!$J:$J, Attendance!$A:$A, A63, Attendance!$J:$J, "&gt;0"))</f>
        <v/>
      </c>
      <c r="E63">
        <f>IF(A63="", "", SUMIFS('Advance Money'!$K:$K, 'Advance Money'!$A:$A, A63))</f>
        <v/>
      </c>
    </row>
    <row r="64">
      <c r="B64">
        <f>IF(A64="", "", IFERROR(VLOOKUP(A64, "Employee Master"!$A:$B, 2, FALSE), ""))</f>
        <v/>
      </c>
      <c r="C64">
        <f>IF(A64="", "", SUMIFS(Attendance!$I:$I, Attendance!$A:$A, A64, Attendance!$I:$I, "&gt;0"))</f>
        <v/>
      </c>
      <c r="D64">
        <f>IF(A64="", "", SUMIFS(Attendance!$J:$J, Attendance!$A:$A, A64, Attendance!$J:$J, "&gt;0"))</f>
        <v/>
      </c>
      <c r="E64">
        <f>IF(A64="", "", SUMIFS('Advance Money'!$K:$K, 'Advance Money'!$A:$A, A64))</f>
        <v/>
      </c>
    </row>
    <row r="65">
      <c r="B65">
        <f>IF(A65="", "", IFERROR(VLOOKUP(A65, "Employee Master"!$A:$B, 2, FALSE), ""))</f>
        <v/>
      </c>
      <c r="C65">
        <f>IF(A65="", "", SUMIFS(Attendance!$I:$I, Attendance!$A:$A, A65, Attendance!$I:$I, "&gt;0"))</f>
        <v/>
      </c>
      <c r="D65">
        <f>IF(A65="", "", SUMIFS(Attendance!$J:$J, Attendance!$A:$A, A65, Attendance!$J:$J, "&gt;0"))</f>
        <v/>
      </c>
      <c r="E65">
        <f>IF(A65="", "", SUMIFS('Advance Money'!$K:$K, 'Advance Money'!$A:$A, A65))</f>
        <v/>
      </c>
    </row>
    <row r="66">
      <c r="B66">
        <f>IF(A66="", "", IFERROR(VLOOKUP(A66, "Employee Master"!$A:$B, 2, FALSE), ""))</f>
        <v/>
      </c>
      <c r="C66">
        <f>IF(A66="", "", SUMIFS(Attendance!$I:$I, Attendance!$A:$A, A66, Attendance!$I:$I, "&gt;0"))</f>
        <v/>
      </c>
      <c r="D66">
        <f>IF(A66="", "", SUMIFS(Attendance!$J:$J, Attendance!$A:$A, A66, Attendance!$J:$J, "&gt;0"))</f>
        <v/>
      </c>
      <c r="E66">
        <f>IF(A66="", "", SUMIFS('Advance Money'!$K:$K, 'Advance Money'!$A:$A, A66))</f>
        <v/>
      </c>
    </row>
    <row r="67">
      <c r="B67">
        <f>IF(A67="", "", IFERROR(VLOOKUP(A67, "Employee Master"!$A:$B, 2, FALSE), ""))</f>
        <v/>
      </c>
      <c r="C67">
        <f>IF(A67="", "", SUMIFS(Attendance!$I:$I, Attendance!$A:$A, A67, Attendance!$I:$I, "&gt;0"))</f>
        <v/>
      </c>
      <c r="D67">
        <f>IF(A67="", "", SUMIFS(Attendance!$J:$J, Attendance!$A:$A, A67, Attendance!$J:$J, "&gt;0"))</f>
        <v/>
      </c>
      <c r="E67">
        <f>IF(A67="", "", SUMIFS('Advance Money'!$K:$K, 'Advance Money'!$A:$A, A67))</f>
        <v/>
      </c>
    </row>
    <row r="68">
      <c r="B68">
        <f>IF(A68="", "", IFERROR(VLOOKUP(A68, "Employee Master"!$A:$B, 2, FALSE), ""))</f>
        <v/>
      </c>
      <c r="C68">
        <f>IF(A68="", "", SUMIFS(Attendance!$I:$I, Attendance!$A:$A, A68, Attendance!$I:$I, "&gt;0"))</f>
        <v/>
      </c>
      <c r="D68">
        <f>IF(A68="", "", SUMIFS(Attendance!$J:$J, Attendance!$A:$A, A68, Attendance!$J:$J, "&gt;0"))</f>
        <v/>
      </c>
      <c r="E68">
        <f>IF(A68="", "", SUMIFS('Advance Money'!$K:$K, 'Advance Money'!$A:$A, A68))</f>
        <v/>
      </c>
    </row>
    <row r="69">
      <c r="B69">
        <f>IF(A69="", "", IFERROR(VLOOKUP(A69, "Employee Master"!$A:$B, 2, FALSE), ""))</f>
        <v/>
      </c>
      <c r="C69">
        <f>IF(A69="", "", SUMIFS(Attendance!$I:$I, Attendance!$A:$A, A69, Attendance!$I:$I, "&gt;0"))</f>
        <v/>
      </c>
      <c r="D69">
        <f>IF(A69="", "", SUMIFS(Attendance!$J:$J, Attendance!$A:$A, A69, Attendance!$J:$J, "&gt;0"))</f>
        <v/>
      </c>
      <c r="E69">
        <f>IF(A69="", "", SUMIFS('Advance Money'!$K:$K, 'Advance Money'!$A:$A, A69))</f>
        <v/>
      </c>
    </row>
    <row r="70">
      <c r="B70">
        <f>IF(A70="", "", IFERROR(VLOOKUP(A70, "Employee Master"!$A:$B, 2, FALSE), ""))</f>
        <v/>
      </c>
      <c r="C70">
        <f>IF(A70="", "", SUMIFS(Attendance!$I:$I, Attendance!$A:$A, A70, Attendance!$I:$I, "&gt;0"))</f>
        <v/>
      </c>
      <c r="D70">
        <f>IF(A70="", "", SUMIFS(Attendance!$J:$J, Attendance!$A:$A, A70, Attendance!$J:$J, "&gt;0"))</f>
        <v/>
      </c>
      <c r="E70">
        <f>IF(A70="", "", SUMIFS('Advance Money'!$K:$K, 'Advance Money'!$A:$A, A70))</f>
        <v/>
      </c>
    </row>
    <row r="71">
      <c r="B71">
        <f>IF(A71="", "", IFERROR(VLOOKUP(A71, "Employee Master"!$A:$B, 2, FALSE), ""))</f>
        <v/>
      </c>
      <c r="C71">
        <f>IF(A71="", "", SUMIFS(Attendance!$I:$I, Attendance!$A:$A, A71, Attendance!$I:$I, "&gt;0"))</f>
        <v/>
      </c>
      <c r="D71">
        <f>IF(A71="", "", SUMIFS(Attendance!$J:$J, Attendance!$A:$A, A71, Attendance!$J:$J, "&gt;0"))</f>
        <v/>
      </c>
      <c r="E71">
        <f>IF(A71="", "", SUMIFS('Advance Money'!$K:$K, 'Advance Money'!$A:$A, A71))</f>
        <v/>
      </c>
    </row>
    <row r="72">
      <c r="B72">
        <f>IF(A72="", "", IFERROR(VLOOKUP(A72, "Employee Master"!$A:$B, 2, FALSE), ""))</f>
        <v/>
      </c>
      <c r="C72">
        <f>IF(A72="", "", SUMIFS(Attendance!$I:$I, Attendance!$A:$A, A72, Attendance!$I:$I, "&gt;0"))</f>
        <v/>
      </c>
      <c r="D72">
        <f>IF(A72="", "", SUMIFS(Attendance!$J:$J, Attendance!$A:$A, A72, Attendance!$J:$J, "&gt;0"))</f>
        <v/>
      </c>
      <c r="E72">
        <f>IF(A72="", "", SUMIFS('Advance Money'!$K:$K, 'Advance Money'!$A:$A, A72))</f>
        <v/>
      </c>
    </row>
    <row r="73">
      <c r="B73">
        <f>IF(A73="", "", IFERROR(VLOOKUP(A73, "Employee Master"!$A:$B, 2, FALSE), ""))</f>
        <v/>
      </c>
      <c r="C73">
        <f>IF(A73="", "", SUMIFS(Attendance!$I:$I, Attendance!$A:$A, A73, Attendance!$I:$I, "&gt;0"))</f>
        <v/>
      </c>
      <c r="D73">
        <f>IF(A73="", "", SUMIFS(Attendance!$J:$J, Attendance!$A:$A, A73, Attendance!$J:$J, "&gt;0"))</f>
        <v/>
      </c>
      <c r="E73">
        <f>IF(A73="", "", SUMIFS('Advance Money'!$K:$K, 'Advance Money'!$A:$A, A73))</f>
        <v/>
      </c>
    </row>
    <row r="74">
      <c r="B74">
        <f>IF(A74="", "", IFERROR(VLOOKUP(A74, "Employee Master"!$A:$B, 2, FALSE), ""))</f>
        <v/>
      </c>
      <c r="C74">
        <f>IF(A74="", "", SUMIFS(Attendance!$I:$I, Attendance!$A:$A, A74, Attendance!$I:$I, "&gt;0"))</f>
        <v/>
      </c>
      <c r="D74">
        <f>IF(A74="", "", SUMIFS(Attendance!$J:$J, Attendance!$A:$A, A74, Attendance!$J:$J, "&gt;0"))</f>
        <v/>
      </c>
      <c r="E74">
        <f>IF(A74="", "", SUMIFS('Advance Money'!$K:$K, 'Advance Money'!$A:$A, A74))</f>
        <v/>
      </c>
    </row>
    <row r="75">
      <c r="B75">
        <f>IF(A75="", "", IFERROR(VLOOKUP(A75, "Employee Master"!$A:$B, 2, FALSE), ""))</f>
        <v/>
      </c>
      <c r="C75">
        <f>IF(A75="", "", SUMIFS(Attendance!$I:$I, Attendance!$A:$A, A75, Attendance!$I:$I, "&gt;0"))</f>
        <v/>
      </c>
      <c r="D75">
        <f>IF(A75="", "", SUMIFS(Attendance!$J:$J, Attendance!$A:$A, A75, Attendance!$J:$J, "&gt;0"))</f>
        <v/>
      </c>
      <c r="E75">
        <f>IF(A75="", "", SUMIFS('Advance Money'!$K:$K, 'Advance Money'!$A:$A, A75))</f>
        <v/>
      </c>
    </row>
    <row r="76">
      <c r="B76">
        <f>IF(A76="", "", IFERROR(VLOOKUP(A76, "Employee Master"!$A:$B, 2, FALSE), ""))</f>
        <v/>
      </c>
      <c r="C76">
        <f>IF(A76="", "", SUMIFS(Attendance!$I:$I, Attendance!$A:$A, A76, Attendance!$I:$I, "&gt;0"))</f>
        <v/>
      </c>
      <c r="D76">
        <f>IF(A76="", "", SUMIFS(Attendance!$J:$J, Attendance!$A:$A, A76, Attendance!$J:$J, "&gt;0"))</f>
        <v/>
      </c>
      <c r="E76">
        <f>IF(A76="", "", SUMIFS('Advance Money'!$K:$K, 'Advance Money'!$A:$A, A76))</f>
        <v/>
      </c>
    </row>
    <row r="77">
      <c r="B77">
        <f>IF(A77="", "", IFERROR(VLOOKUP(A77, "Employee Master"!$A:$B, 2, FALSE), ""))</f>
        <v/>
      </c>
      <c r="C77">
        <f>IF(A77="", "", SUMIFS(Attendance!$I:$I, Attendance!$A:$A, A77, Attendance!$I:$I, "&gt;0"))</f>
        <v/>
      </c>
      <c r="D77">
        <f>IF(A77="", "", SUMIFS(Attendance!$J:$J, Attendance!$A:$A, A77, Attendance!$J:$J, "&gt;0"))</f>
        <v/>
      </c>
      <c r="E77">
        <f>IF(A77="", "", SUMIFS('Advance Money'!$K:$K, 'Advance Money'!$A:$A, A77))</f>
        <v/>
      </c>
    </row>
    <row r="78">
      <c r="B78">
        <f>IF(A78="", "", IFERROR(VLOOKUP(A78, "Employee Master"!$A:$B, 2, FALSE), ""))</f>
        <v/>
      </c>
      <c r="C78">
        <f>IF(A78="", "", SUMIFS(Attendance!$I:$I, Attendance!$A:$A, A78, Attendance!$I:$I, "&gt;0"))</f>
        <v/>
      </c>
      <c r="D78">
        <f>IF(A78="", "", SUMIFS(Attendance!$J:$J, Attendance!$A:$A, A78, Attendance!$J:$J, "&gt;0"))</f>
        <v/>
      </c>
      <c r="E78">
        <f>IF(A78="", "", SUMIFS('Advance Money'!$K:$K, 'Advance Money'!$A:$A, A78))</f>
        <v/>
      </c>
    </row>
    <row r="79">
      <c r="B79">
        <f>IF(A79="", "", IFERROR(VLOOKUP(A79, "Employee Master"!$A:$B, 2, FALSE), ""))</f>
        <v/>
      </c>
      <c r="C79">
        <f>IF(A79="", "", SUMIFS(Attendance!$I:$I, Attendance!$A:$A, A79, Attendance!$I:$I, "&gt;0"))</f>
        <v/>
      </c>
      <c r="D79">
        <f>IF(A79="", "", SUMIFS(Attendance!$J:$J, Attendance!$A:$A, A79, Attendance!$J:$J, "&gt;0"))</f>
        <v/>
      </c>
      <c r="E79">
        <f>IF(A79="", "", SUMIFS('Advance Money'!$K:$K, 'Advance Money'!$A:$A, A79))</f>
        <v/>
      </c>
    </row>
    <row r="80">
      <c r="B80">
        <f>IF(A80="", "", IFERROR(VLOOKUP(A80, "Employee Master"!$A:$B, 2, FALSE), ""))</f>
        <v/>
      </c>
      <c r="C80">
        <f>IF(A80="", "", SUMIFS(Attendance!$I:$I, Attendance!$A:$A, A80, Attendance!$I:$I, "&gt;0"))</f>
        <v/>
      </c>
      <c r="D80">
        <f>IF(A80="", "", SUMIFS(Attendance!$J:$J, Attendance!$A:$A, A80, Attendance!$J:$J, "&gt;0"))</f>
        <v/>
      </c>
      <c r="E80">
        <f>IF(A80="", "", SUMIFS('Advance Money'!$K:$K, 'Advance Money'!$A:$A, A80))</f>
        <v/>
      </c>
    </row>
    <row r="81">
      <c r="B81">
        <f>IF(A81="", "", IFERROR(VLOOKUP(A81, "Employee Master"!$A:$B, 2, FALSE), ""))</f>
        <v/>
      </c>
      <c r="C81">
        <f>IF(A81="", "", SUMIFS(Attendance!$I:$I, Attendance!$A:$A, A81, Attendance!$I:$I, "&gt;0"))</f>
        <v/>
      </c>
      <c r="D81">
        <f>IF(A81="", "", SUMIFS(Attendance!$J:$J, Attendance!$A:$A, A81, Attendance!$J:$J, "&gt;0"))</f>
        <v/>
      </c>
      <c r="E81">
        <f>IF(A81="", "", SUMIFS('Advance Money'!$K:$K, 'Advance Money'!$A:$A, A81))</f>
        <v/>
      </c>
    </row>
    <row r="82">
      <c r="B82">
        <f>IF(A82="", "", IFERROR(VLOOKUP(A82, "Employee Master"!$A:$B, 2, FALSE), ""))</f>
        <v/>
      </c>
      <c r="C82">
        <f>IF(A82="", "", SUMIFS(Attendance!$I:$I, Attendance!$A:$A, A82, Attendance!$I:$I, "&gt;0"))</f>
        <v/>
      </c>
      <c r="D82">
        <f>IF(A82="", "", SUMIFS(Attendance!$J:$J, Attendance!$A:$A, A82, Attendance!$J:$J, "&gt;0"))</f>
        <v/>
      </c>
      <c r="E82">
        <f>IF(A82="", "", SUMIFS('Advance Money'!$K:$K, 'Advance Money'!$A:$A, A82))</f>
        <v/>
      </c>
    </row>
    <row r="83">
      <c r="B83">
        <f>IF(A83="", "", IFERROR(VLOOKUP(A83, "Employee Master"!$A:$B, 2, FALSE), ""))</f>
        <v/>
      </c>
      <c r="C83">
        <f>IF(A83="", "", SUMIFS(Attendance!$I:$I, Attendance!$A:$A, A83, Attendance!$I:$I, "&gt;0"))</f>
        <v/>
      </c>
      <c r="D83">
        <f>IF(A83="", "", SUMIFS(Attendance!$J:$J, Attendance!$A:$A, A83, Attendance!$J:$J, "&gt;0"))</f>
        <v/>
      </c>
      <c r="E83">
        <f>IF(A83="", "", SUMIFS('Advance Money'!$K:$K, 'Advance Money'!$A:$A, A83))</f>
        <v/>
      </c>
    </row>
    <row r="84">
      <c r="B84">
        <f>IF(A84="", "", IFERROR(VLOOKUP(A84, "Employee Master"!$A:$B, 2, FALSE), ""))</f>
        <v/>
      </c>
      <c r="C84">
        <f>IF(A84="", "", SUMIFS(Attendance!$I:$I, Attendance!$A:$A, A84, Attendance!$I:$I, "&gt;0"))</f>
        <v/>
      </c>
      <c r="D84">
        <f>IF(A84="", "", SUMIFS(Attendance!$J:$J, Attendance!$A:$A, A84, Attendance!$J:$J, "&gt;0"))</f>
        <v/>
      </c>
      <c r="E84">
        <f>IF(A84="", "", SUMIFS('Advance Money'!$K:$K, 'Advance Money'!$A:$A, A84))</f>
        <v/>
      </c>
    </row>
    <row r="85">
      <c r="B85">
        <f>IF(A85="", "", IFERROR(VLOOKUP(A85, "Employee Master"!$A:$B, 2, FALSE), ""))</f>
        <v/>
      </c>
      <c r="C85">
        <f>IF(A85="", "", SUMIFS(Attendance!$I:$I, Attendance!$A:$A, A85, Attendance!$I:$I, "&gt;0"))</f>
        <v/>
      </c>
      <c r="D85">
        <f>IF(A85="", "", SUMIFS(Attendance!$J:$J, Attendance!$A:$A, A85, Attendance!$J:$J, "&gt;0"))</f>
        <v/>
      </c>
      <c r="E85">
        <f>IF(A85="", "", SUMIFS('Advance Money'!$K:$K, 'Advance Money'!$A:$A, A85))</f>
        <v/>
      </c>
    </row>
    <row r="86">
      <c r="B86">
        <f>IF(A86="", "", IFERROR(VLOOKUP(A86, "Employee Master"!$A:$B, 2, FALSE), ""))</f>
        <v/>
      </c>
      <c r="C86">
        <f>IF(A86="", "", SUMIFS(Attendance!$I:$I, Attendance!$A:$A, A86, Attendance!$I:$I, "&gt;0"))</f>
        <v/>
      </c>
      <c r="D86">
        <f>IF(A86="", "", SUMIFS(Attendance!$J:$J, Attendance!$A:$A, A86, Attendance!$J:$J, "&gt;0"))</f>
        <v/>
      </c>
      <c r="E86">
        <f>IF(A86="", "", SUMIFS('Advance Money'!$K:$K, 'Advance Money'!$A:$A, A86))</f>
        <v/>
      </c>
    </row>
    <row r="87">
      <c r="B87">
        <f>IF(A87="", "", IFERROR(VLOOKUP(A87, "Employee Master"!$A:$B, 2, FALSE), ""))</f>
        <v/>
      </c>
      <c r="C87">
        <f>IF(A87="", "", SUMIFS(Attendance!$I:$I, Attendance!$A:$A, A87, Attendance!$I:$I, "&gt;0"))</f>
        <v/>
      </c>
      <c r="D87">
        <f>IF(A87="", "", SUMIFS(Attendance!$J:$J, Attendance!$A:$A, A87, Attendance!$J:$J, "&gt;0"))</f>
        <v/>
      </c>
      <c r="E87">
        <f>IF(A87="", "", SUMIFS('Advance Money'!$K:$K, 'Advance Money'!$A:$A, A87))</f>
        <v/>
      </c>
    </row>
    <row r="88">
      <c r="B88">
        <f>IF(A88="", "", IFERROR(VLOOKUP(A88, "Employee Master"!$A:$B, 2, FALSE), ""))</f>
        <v/>
      </c>
      <c r="C88">
        <f>IF(A88="", "", SUMIFS(Attendance!$I:$I, Attendance!$A:$A, A88, Attendance!$I:$I, "&gt;0"))</f>
        <v/>
      </c>
      <c r="D88">
        <f>IF(A88="", "", SUMIFS(Attendance!$J:$J, Attendance!$A:$A, A88, Attendance!$J:$J, "&gt;0"))</f>
        <v/>
      </c>
      <c r="E88">
        <f>IF(A88="", "", SUMIFS('Advance Money'!$K:$K, 'Advance Money'!$A:$A, A88))</f>
        <v/>
      </c>
    </row>
    <row r="89">
      <c r="B89">
        <f>IF(A89="", "", IFERROR(VLOOKUP(A89, "Employee Master"!$A:$B, 2, FALSE), ""))</f>
        <v/>
      </c>
      <c r="C89">
        <f>IF(A89="", "", SUMIFS(Attendance!$I:$I, Attendance!$A:$A, A89, Attendance!$I:$I, "&gt;0"))</f>
        <v/>
      </c>
      <c r="D89">
        <f>IF(A89="", "", SUMIFS(Attendance!$J:$J, Attendance!$A:$A, A89, Attendance!$J:$J, "&gt;0"))</f>
        <v/>
      </c>
      <c r="E89">
        <f>IF(A89="", "", SUMIFS('Advance Money'!$K:$K, 'Advance Money'!$A:$A, A89))</f>
        <v/>
      </c>
    </row>
    <row r="90">
      <c r="B90">
        <f>IF(A90="", "", IFERROR(VLOOKUP(A90, "Employee Master"!$A:$B, 2, FALSE), ""))</f>
        <v/>
      </c>
      <c r="C90">
        <f>IF(A90="", "", SUMIFS(Attendance!$I:$I, Attendance!$A:$A, A90, Attendance!$I:$I, "&gt;0"))</f>
        <v/>
      </c>
      <c r="D90">
        <f>IF(A90="", "", SUMIFS(Attendance!$J:$J, Attendance!$A:$A, A90, Attendance!$J:$J, "&gt;0"))</f>
        <v/>
      </c>
      <c r="E90">
        <f>IF(A90="", "", SUMIFS('Advance Money'!$K:$K, 'Advance Money'!$A:$A, A90))</f>
        <v/>
      </c>
    </row>
    <row r="91">
      <c r="B91">
        <f>IF(A91="", "", IFERROR(VLOOKUP(A91, "Employee Master"!$A:$B, 2, FALSE), ""))</f>
        <v/>
      </c>
      <c r="C91">
        <f>IF(A91="", "", SUMIFS(Attendance!$I:$I, Attendance!$A:$A, A91, Attendance!$I:$I, "&gt;0"))</f>
        <v/>
      </c>
      <c r="D91">
        <f>IF(A91="", "", SUMIFS(Attendance!$J:$J, Attendance!$A:$A, A91, Attendance!$J:$J, "&gt;0"))</f>
        <v/>
      </c>
      <c r="E91">
        <f>IF(A91="", "", SUMIFS('Advance Money'!$K:$K, 'Advance Money'!$A:$A, A91))</f>
        <v/>
      </c>
    </row>
    <row r="92">
      <c r="B92">
        <f>IF(A92="", "", IFERROR(VLOOKUP(A92, "Employee Master"!$A:$B, 2, FALSE), ""))</f>
        <v/>
      </c>
      <c r="C92">
        <f>IF(A92="", "", SUMIFS(Attendance!$I:$I, Attendance!$A:$A, A92, Attendance!$I:$I, "&gt;0"))</f>
        <v/>
      </c>
      <c r="D92">
        <f>IF(A92="", "", SUMIFS(Attendance!$J:$J, Attendance!$A:$A, A92, Attendance!$J:$J, "&gt;0"))</f>
        <v/>
      </c>
      <c r="E92">
        <f>IF(A92="", "", SUMIFS('Advance Money'!$K:$K, 'Advance Money'!$A:$A, A92))</f>
        <v/>
      </c>
    </row>
    <row r="93">
      <c r="B93">
        <f>IF(A93="", "", IFERROR(VLOOKUP(A93, "Employee Master"!$A:$B, 2, FALSE), ""))</f>
        <v/>
      </c>
      <c r="C93">
        <f>IF(A93="", "", SUMIFS(Attendance!$I:$I, Attendance!$A:$A, A93, Attendance!$I:$I, "&gt;0"))</f>
        <v/>
      </c>
      <c r="D93">
        <f>IF(A93="", "", SUMIFS(Attendance!$J:$J, Attendance!$A:$A, A93, Attendance!$J:$J, "&gt;0"))</f>
        <v/>
      </c>
      <c r="E93">
        <f>IF(A93="", "", SUMIFS('Advance Money'!$K:$K, 'Advance Money'!$A:$A, A93))</f>
        <v/>
      </c>
    </row>
    <row r="94">
      <c r="B94">
        <f>IF(A94="", "", IFERROR(VLOOKUP(A94, "Employee Master"!$A:$B, 2, FALSE), ""))</f>
        <v/>
      </c>
      <c r="C94">
        <f>IF(A94="", "", SUMIFS(Attendance!$I:$I, Attendance!$A:$A, A94, Attendance!$I:$I, "&gt;0"))</f>
        <v/>
      </c>
      <c r="D94">
        <f>IF(A94="", "", SUMIFS(Attendance!$J:$J, Attendance!$A:$A, A94, Attendance!$J:$J, "&gt;0"))</f>
        <v/>
      </c>
      <c r="E94">
        <f>IF(A94="", "", SUMIFS('Advance Money'!$K:$K, 'Advance Money'!$A:$A, A94))</f>
        <v/>
      </c>
    </row>
    <row r="95">
      <c r="B95">
        <f>IF(A95="", "", IFERROR(VLOOKUP(A95, "Employee Master"!$A:$B, 2, FALSE), ""))</f>
        <v/>
      </c>
      <c r="C95">
        <f>IF(A95="", "", SUMIFS(Attendance!$I:$I, Attendance!$A:$A, A95, Attendance!$I:$I, "&gt;0"))</f>
        <v/>
      </c>
      <c r="D95">
        <f>IF(A95="", "", SUMIFS(Attendance!$J:$J, Attendance!$A:$A, A95, Attendance!$J:$J, "&gt;0"))</f>
        <v/>
      </c>
      <c r="E95">
        <f>IF(A95="", "", SUMIFS('Advance Money'!$K:$K, 'Advance Money'!$A:$A, A95))</f>
        <v/>
      </c>
    </row>
    <row r="96">
      <c r="B96">
        <f>IF(A96="", "", IFERROR(VLOOKUP(A96, "Employee Master"!$A:$B, 2, FALSE), ""))</f>
        <v/>
      </c>
      <c r="C96">
        <f>IF(A96="", "", SUMIFS(Attendance!$I:$I, Attendance!$A:$A, A96, Attendance!$I:$I, "&gt;0"))</f>
        <v/>
      </c>
      <c r="D96">
        <f>IF(A96="", "", SUMIFS(Attendance!$J:$J, Attendance!$A:$A, A96, Attendance!$J:$J, "&gt;0"))</f>
        <v/>
      </c>
      <c r="E96">
        <f>IF(A96="", "", SUMIFS('Advance Money'!$K:$K, 'Advance Money'!$A:$A, A96))</f>
        <v/>
      </c>
    </row>
    <row r="97">
      <c r="B97">
        <f>IF(A97="", "", IFERROR(VLOOKUP(A97, "Employee Master"!$A:$B, 2, FALSE), ""))</f>
        <v/>
      </c>
      <c r="C97">
        <f>IF(A97="", "", SUMIFS(Attendance!$I:$I, Attendance!$A:$A, A97, Attendance!$I:$I, "&gt;0"))</f>
        <v/>
      </c>
      <c r="D97">
        <f>IF(A97="", "", SUMIFS(Attendance!$J:$J, Attendance!$A:$A, A97, Attendance!$J:$J, "&gt;0"))</f>
        <v/>
      </c>
      <c r="E97">
        <f>IF(A97="", "", SUMIFS('Advance Money'!$K:$K, 'Advance Money'!$A:$A, A97))</f>
        <v/>
      </c>
    </row>
    <row r="98">
      <c r="B98">
        <f>IF(A98="", "", IFERROR(VLOOKUP(A98, "Employee Master"!$A:$B, 2, FALSE), ""))</f>
        <v/>
      </c>
      <c r="C98">
        <f>IF(A98="", "", SUMIFS(Attendance!$I:$I, Attendance!$A:$A, A98, Attendance!$I:$I, "&gt;0"))</f>
        <v/>
      </c>
      <c r="D98">
        <f>IF(A98="", "", SUMIFS(Attendance!$J:$J, Attendance!$A:$A, A98, Attendance!$J:$J, "&gt;0"))</f>
        <v/>
      </c>
      <c r="E98">
        <f>IF(A98="", "", SUMIFS('Advance Money'!$K:$K, 'Advance Money'!$A:$A, A98))</f>
        <v/>
      </c>
    </row>
    <row r="99">
      <c r="B99">
        <f>IF(A99="", "", IFERROR(VLOOKUP(A99, "Employee Master"!$A:$B, 2, FALSE), ""))</f>
        <v/>
      </c>
      <c r="C99">
        <f>IF(A99="", "", SUMIFS(Attendance!$I:$I, Attendance!$A:$A, A99, Attendance!$I:$I, "&gt;0"))</f>
        <v/>
      </c>
      <c r="D99">
        <f>IF(A99="", "", SUMIFS(Attendance!$J:$J, Attendance!$A:$A, A99, Attendance!$J:$J, "&gt;0"))</f>
        <v/>
      </c>
      <c r="E99">
        <f>IF(A99="", "", SUMIFS('Advance Money'!$K:$K, 'Advance Money'!$A:$A, A99))</f>
        <v/>
      </c>
    </row>
    <row r="100">
      <c r="B100">
        <f>IF(A100="", "", IFERROR(VLOOKUP(A100, "Employee Master"!$A:$B, 2, FALSE), ""))</f>
        <v/>
      </c>
      <c r="C100">
        <f>IF(A100="", "", SUMIFS(Attendance!$I:$I, Attendance!$A:$A, A100, Attendance!$I:$I, "&gt;0"))</f>
        <v/>
      </c>
      <c r="D100">
        <f>IF(A100="", "", SUMIFS(Attendance!$J:$J, Attendance!$A:$A, A100, Attendance!$J:$J, "&gt;0"))</f>
        <v/>
      </c>
      <c r="E100">
        <f>IF(A100="", "", SUMIFS('Advance Money'!$K:$K, 'Advance Money'!$A:$A, A100))</f>
        <v/>
      </c>
    </row>
    <row r="101">
      <c r="B101">
        <f>IF(A101="", "", IFERROR(VLOOKUP(A101, "Employee Master"!$A:$B, 2, FALSE), ""))</f>
        <v/>
      </c>
      <c r="C101">
        <f>IF(A101="", "", SUMIFS(Attendance!$I:$I, Attendance!$A:$A, A101, Attendance!$I:$I, "&gt;0"))</f>
        <v/>
      </c>
      <c r="D101">
        <f>IF(A101="", "", SUMIFS(Attendance!$J:$J, Attendance!$A:$A, A101, Attendance!$J:$J, "&gt;0"))</f>
        <v/>
      </c>
      <c r="E101">
        <f>IF(A101="", "", SUMIFS('Advance Money'!$K:$K, 'Advance Money'!$A:$A, A101))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2026-07-15T04:19:39Z</dcterms:created>
  <dcterms:modified xsi:type="dcterms:W3CDTF">2026-07-15T04:19:40Z</dcterms:modified>
</cp:coreProperties>
</file>